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svcorp-my.sharepoint.com/personal/nour_ben-romdhane_dsv_com/Documents/Desktop/nancy/POP/"/>
    </mc:Choice>
  </mc:AlternateContent>
  <xr:revisionPtr revIDLastSave="27" documentId="8_{FFE6458C-6352-4988-BBD0-DB630D7F3FFA}" xr6:coauthVersionLast="47" xr6:coauthVersionMax="47" xr10:uidLastSave="{5D69CF45-98CD-43C5-A812-F19A630CCC53}"/>
  <bookViews>
    <workbookView xWindow="-120" yWindow="-120" windowWidth="29040" windowHeight="15720" xr2:uid="{86EF4FC3-218C-4F7F-AEF4-6343A98D74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8" i="1" l="1"/>
  <c r="Z58" i="1"/>
  <c r="AA58" i="1"/>
  <c r="AB58" i="1"/>
  <c r="AC58" i="1"/>
  <c r="AD58" i="1"/>
  <c r="AE58" i="1"/>
  <c r="Y59" i="1"/>
  <c r="Z59" i="1"/>
  <c r="Z42" i="1" s="1"/>
  <c r="AA59" i="1"/>
  <c r="AA42" i="1" s="1"/>
  <c r="AB59" i="1"/>
  <c r="AB36" i="1" s="1"/>
  <c r="AC59" i="1"/>
  <c r="AD59" i="1"/>
  <c r="AD42" i="1" s="1"/>
  <c r="AE59" i="1"/>
  <c r="Y60" i="1"/>
  <c r="Z60" i="1"/>
  <c r="AA60" i="1"/>
  <c r="AB60" i="1"/>
  <c r="AC60" i="1"/>
  <c r="AD60" i="1"/>
  <c r="AE60" i="1"/>
  <c r="AE37" i="1" s="1"/>
  <c r="Y61" i="1"/>
  <c r="Y37" i="1" s="1"/>
  <c r="Z61" i="1"/>
  <c r="Z37" i="1" s="1"/>
  <c r="AA61" i="1"/>
  <c r="AB61" i="1"/>
  <c r="AC61" i="1"/>
  <c r="AD61" i="1"/>
  <c r="AE61" i="1"/>
  <c r="Y62" i="1"/>
  <c r="Z62" i="1"/>
  <c r="AA62" i="1"/>
  <c r="AB62" i="1"/>
  <c r="AC62" i="1"/>
  <c r="AC43" i="1" s="1"/>
  <c r="AD62" i="1"/>
  <c r="AD43" i="1" s="1"/>
  <c r="AE62" i="1"/>
  <c r="AE43" i="1" s="1"/>
  <c r="Y63" i="1"/>
  <c r="Z63" i="1"/>
  <c r="AA63" i="1"/>
  <c r="AB63" i="1"/>
  <c r="AC63" i="1"/>
  <c r="AD63" i="1"/>
  <c r="AE63" i="1"/>
  <c r="Y64" i="1"/>
  <c r="Z64" i="1"/>
  <c r="AA64" i="1"/>
  <c r="AA48" i="1" s="1"/>
  <c r="AB64" i="1"/>
  <c r="AB48" i="1" s="1"/>
  <c r="AC64" i="1"/>
  <c r="AC48" i="1" s="1"/>
  <c r="AC46" i="1" s="1"/>
  <c r="AD64" i="1"/>
  <c r="AE64" i="1"/>
  <c r="AE48" i="1" s="1"/>
  <c r="AE46" i="1" s="1"/>
  <c r="Y66" i="1"/>
  <c r="Z66" i="1"/>
  <c r="AA66" i="1"/>
  <c r="AB66" i="1"/>
  <c r="AC66" i="1"/>
  <c r="AD66" i="1"/>
  <c r="AE66" i="1"/>
  <c r="Y67" i="1"/>
  <c r="Z67" i="1"/>
  <c r="AA67" i="1"/>
  <c r="AB67" i="1"/>
  <c r="AC67" i="1"/>
  <c r="AD67" i="1"/>
  <c r="AE67" i="1"/>
  <c r="Y68" i="1"/>
  <c r="Z68" i="1"/>
  <c r="AA68" i="1"/>
  <c r="AB68" i="1"/>
  <c r="AC68" i="1"/>
  <c r="AD68" i="1"/>
  <c r="AE68" i="1"/>
  <c r="Y69" i="1"/>
  <c r="Z69" i="1"/>
  <c r="AA69" i="1"/>
  <c r="AB69" i="1"/>
  <c r="AC69" i="1"/>
  <c r="AD69" i="1"/>
  <c r="AE69" i="1"/>
  <c r="Y70" i="1"/>
  <c r="Z70" i="1"/>
  <c r="AA70" i="1"/>
  <c r="AB70" i="1"/>
  <c r="AC70" i="1"/>
  <c r="AD70" i="1"/>
  <c r="AE70" i="1"/>
  <c r="Y71" i="1"/>
  <c r="Z71" i="1"/>
  <c r="AA71" i="1"/>
  <c r="AB71" i="1"/>
  <c r="AC71" i="1"/>
  <c r="AD71" i="1"/>
  <c r="AE71" i="1"/>
  <c r="Y72" i="1"/>
  <c r="Z72" i="1"/>
  <c r="AA72" i="1"/>
  <c r="AB72" i="1"/>
  <c r="AC72" i="1"/>
  <c r="AD72" i="1"/>
  <c r="AE72" i="1"/>
  <c r="Y32" i="1"/>
  <c r="Z32" i="1"/>
  <c r="AA32" i="1"/>
  <c r="AB32" i="1"/>
  <c r="AC32" i="1"/>
  <c r="AD32" i="1"/>
  <c r="AE32" i="1"/>
  <c r="AC33" i="1"/>
  <c r="Y35" i="1"/>
  <c r="Z35" i="1"/>
  <c r="AA35" i="1"/>
  <c r="AA33" i="1" s="1"/>
  <c r="AB35" i="1"/>
  <c r="AB33" i="1" s="1"/>
  <c r="AC35" i="1"/>
  <c r="AD35" i="1"/>
  <c r="AE35" i="1"/>
  <c r="AE33" i="1" s="1"/>
  <c r="Y36" i="1"/>
  <c r="AC36" i="1"/>
  <c r="AD36" i="1"/>
  <c r="AE36" i="1"/>
  <c r="AA37" i="1"/>
  <c r="AB37" i="1"/>
  <c r="Y38" i="1"/>
  <c r="Z38" i="1"/>
  <c r="AA38" i="1"/>
  <c r="AB38" i="1"/>
  <c r="AC38" i="1"/>
  <c r="AD38" i="1"/>
  <c r="AE38" i="1"/>
  <c r="Y41" i="1"/>
  <c r="Y39" i="1" s="1"/>
  <c r="Z41" i="1"/>
  <c r="Z39" i="1" s="1"/>
  <c r="AA41" i="1"/>
  <c r="AA39" i="1" s="1"/>
  <c r="AB41" i="1"/>
  <c r="AC41" i="1"/>
  <c r="AD41" i="1"/>
  <c r="AE41" i="1"/>
  <c r="Y42" i="1"/>
  <c r="AC42" i="1"/>
  <c r="AE42" i="1"/>
  <c r="AA43" i="1"/>
  <c r="AB43" i="1"/>
  <c r="Y44" i="1"/>
  <c r="Z44" i="1"/>
  <c r="AA44" i="1"/>
  <c r="AB44" i="1"/>
  <c r="AC44" i="1"/>
  <c r="AD44" i="1"/>
  <c r="AD45" i="1" s="1"/>
  <c r="AE44" i="1"/>
  <c r="Y47" i="1"/>
  <c r="Z47" i="1"/>
  <c r="AA47" i="1"/>
  <c r="AB47" i="1"/>
  <c r="AB45" i="1" s="1"/>
  <c r="AC47" i="1"/>
  <c r="AC45" i="1" s="1"/>
  <c r="AD47" i="1"/>
  <c r="AE47" i="1"/>
  <c r="Y48" i="1"/>
  <c r="Z48" i="1"/>
  <c r="AD48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X64" i="1"/>
  <c r="W64" i="1"/>
  <c r="V64" i="1"/>
  <c r="U64" i="1"/>
  <c r="U48" i="1" s="1"/>
  <c r="T64" i="1"/>
  <c r="S64" i="1"/>
  <c r="S48" i="1" s="1"/>
  <c r="R64" i="1"/>
  <c r="R48" i="1" s="1"/>
  <c r="Q64" i="1"/>
  <c r="Q48" i="1" s="1"/>
  <c r="P64" i="1"/>
  <c r="O64" i="1"/>
  <c r="O48" i="1" s="1"/>
  <c r="N64" i="1"/>
  <c r="M64" i="1"/>
  <c r="L64" i="1"/>
  <c r="L48" i="1" s="1"/>
  <c r="K64" i="1"/>
  <c r="K48" i="1" s="1"/>
  <c r="J64" i="1"/>
  <c r="J48" i="1" s="1"/>
  <c r="I64" i="1"/>
  <c r="I48" i="1" s="1"/>
  <c r="H64" i="1"/>
  <c r="G64" i="1"/>
  <c r="G48" i="1" s="1"/>
  <c r="G46" i="1" s="1"/>
  <c r="F64" i="1"/>
  <c r="F48" i="1" s="1"/>
  <c r="E64" i="1"/>
  <c r="E48" i="1" s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X61" i="1"/>
  <c r="W61" i="1"/>
  <c r="V61" i="1"/>
  <c r="U61" i="1"/>
  <c r="T61" i="1"/>
  <c r="S61" i="1"/>
  <c r="S43" i="1" s="1"/>
  <c r="R61" i="1"/>
  <c r="R43" i="1" s="1"/>
  <c r="Q61" i="1"/>
  <c r="Q43" i="1" s="1"/>
  <c r="P61" i="1"/>
  <c r="O61" i="1"/>
  <c r="O43" i="1" s="1"/>
  <c r="N61" i="1"/>
  <c r="M61" i="1"/>
  <c r="L61" i="1"/>
  <c r="L43" i="1" s="1"/>
  <c r="K61" i="1"/>
  <c r="J61" i="1"/>
  <c r="I61" i="1"/>
  <c r="H61" i="1"/>
  <c r="G61" i="1"/>
  <c r="G43" i="1" s="1"/>
  <c r="F61" i="1"/>
  <c r="E61" i="1"/>
  <c r="E43" i="1" s="1"/>
  <c r="X60" i="1"/>
  <c r="W60" i="1"/>
  <c r="V60" i="1"/>
  <c r="U60" i="1"/>
  <c r="T60" i="1"/>
  <c r="S60" i="1"/>
  <c r="R60" i="1"/>
  <c r="Q60" i="1"/>
  <c r="P60" i="1"/>
  <c r="O60" i="1"/>
  <c r="N60" i="1"/>
  <c r="N37" i="1" s="1"/>
  <c r="M60" i="1"/>
  <c r="M37" i="1" s="1"/>
  <c r="L60" i="1"/>
  <c r="K60" i="1"/>
  <c r="J60" i="1"/>
  <c r="I60" i="1"/>
  <c r="H60" i="1"/>
  <c r="G60" i="1"/>
  <c r="F60" i="1"/>
  <c r="E60" i="1"/>
  <c r="X59" i="1"/>
  <c r="W59" i="1"/>
  <c r="V59" i="1"/>
  <c r="V42" i="1" s="1"/>
  <c r="U59" i="1"/>
  <c r="U42" i="1" s="1"/>
  <c r="T59" i="1"/>
  <c r="S59" i="1"/>
  <c r="R59" i="1"/>
  <c r="Q59" i="1"/>
  <c r="P59" i="1"/>
  <c r="P42" i="1" s="1"/>
  <c r="O59" i="1"/>
  <c r="N59" i="1"/>
  <c r="M59" i="1"/>
  <c r="M42" i="1" s="1"/>
  <c r="L59" i="1"/>
  <c r="K59" i="1"/>
  <c r="J59" i="1"/>
  <c r="J36" i="1" s="1"/>
  <c r="I59" i="1"/>
  <c r="I42" i="1" s="1"/>
  <c r="H59" i="1"/>
  <c r="G59" i="1"/>
  <c r="G42" i="1" s="1"/>
  <c r="F59" i="1"/>
  <c r="F42" i="1" s="1"/>
  <c r="E59" i="1"/>
  <c r="E42" i="1" s="1"/>
  <c r="X58" i="1"/>
  <c r="X36" i="1" s="1"/>
  <c r="W58" i="1"/>
  <c r="V58" i="1"/>
  <c r="U58" i="1"/>
  <c r="T58" i="1"/>
  <c r="T36" i="1" s="1"/>
  <c r="S58" i="1"/>
  <c r="S36" i="1" s="1"/>
  <c r="R58" i="1"/>
  <c r="R36" i="1" s="1"/>
  <c r="Q58" i="1"/>
  <c r="Q36" i="1" s="1"/>
  <c r="P58" i="1"/>
  <c r="P36" i="1" s="1"/>
  <c r="O58" i="1"/>
  <c r="O36" i="1" s="1"/>
  <c r="N58" i="1"/>
  <c r="M58" i="1"/>
  <c r="L58" i="1"/>
  <c r="K58" i="1"/>
  <c r="J58" i="1"/>
  <c r="I58" i="1"/>
  <c r="H58" i="1"/>
  <c r="H36" i="1" s="1"/>
  <c r="G58" i="1"/>
  <c r="G36" i="1" s="1"/>
  <c r="F58" i="1"/>
  <c r="F36" i="1" s="1"/>
  <c r="E58" i="1"/>
  <c r="E36" i="1" s="1"/>
  <c r="W48" i="1"/>
  <c r="T48" i="1"/>
  <c r="H48" i="1"/>
  <c r="X43" i="1"/>
  <c r="T43" i="1"/>
  <c r="H43" i="1"/>
  <c r="F43" i="1"/>
  <c r="S37" i="1"/>
  <c r="P37" i="1"/>
  <c r="S42" i="1"/>
  <c r="R42" i="1"/>
  <c r="O42" i="1"/>
  <c r="L36" i="1"/>
  <c r="X48" i="1"/>
  <c r="V48" i="1"/>
  <c r="P48" i="1"/>
  <c r="N48" i="1"/>
  <c r="M48" i="1"/>
  <c r="X47" i="1"/>
  <c r="W47" i="1"/>
  <c r="V47" i="1"/>
  <c r="V45" i="1" s="1"/>
  <c r="U47" i="1"/>
  <c r="T47" i="1"/>
  <c r="T45" i="1" s="1"/>
  <c r="S47" i="1"/>
  <c r="R47" i="1"/>
  <c r="Q47" i="1"/>
  <c r="P47" i="1"/>
  <c r="O47" i="1"/>
  <c r="N47" i="1"/>
  <c r="M47" i="1"/>
  <c r="L47" i="1"/>
  <c r="K47" i="1"/>
  <c r="J47" i="1"/>
  <c r="J45" i="1" s="1"/>
  <c r="I47" i="1"/>
  <c r="H47" i="1"/>
  <c r="H45" i="1" s="1"/>
  <c r="G47" i="1"/>
  <c r="F47" i="1"/>
  <c r="E47" i="1"/>
  <c r="AF47" i="1" s="1"/>
  <c r="X44" i="1"/>
  <c r="W44" i="1"/>
  <c r="V44" i="1"/>
  <c r="U44" i="1"/>
  <c r="T44" i="1"/>
  <c r="S44" i="1"/>
  <c r="R44" i="1"/>
  <c r="Q44" i="1"/>
  <c r="P44" i="1"/>
  <c r="P45" i="1" s="1"/>
  <c r="O44" i="1"/>
  <c r="N44" i="1"/>
  <c r="M44" i="1"/>
  <c r="L44" i="1"/>
  <c r="K44" i="1"/>
  <c r="J44" i="1"/>
  <c r="I44" i="1"/>
  <c r="H44" i="1"/>
  <c r="G44" i="1"/>
  <c r="F44" i="1"/>
  <c r="E44" i="1"/>
  <c r="AF44" i="1" s="1"/>
  <c r="T42" i="1"/>
  <c r="Q42" i="1"/>
  <c r="N42" i="1"/>
  <c r="H42" i="1"/>
  <c r="X41" i="1"/>
  <c r="W41" i="1"/>
  <c r="W39" i="1" s="1"/>
  <c r="V41" i="1"/>
  <c r="U41" i="1"/>
  <c r="U39" i="1" s="1"/>
  <c r="T41" i="1"/>
  <c r="T39" i="1" s="1"/>
  <c r="S41" i="1"/>
  <c r="R41" i="1"/>
  <c r="Q41" i="1"/>
  <c r="P41" i="1"/>
  <c r="O41" i="1"/>
  <c r="N41" i="1"/>
  <c r="M41" i="1"/>
  <c r="L41" i="1"/>
  <c r="K41" i="1"/>
  <c r="K39" i="1" s="1"/>
  <c r="J41" i="1"/>
  <c r="I41" i="1"/>
  <c r="I39" i="1" s="1"/>
  <c r="H41" i="1"/>
  <c r="H39" i="1" s="1"/>
  <c r="G41" i="1"/>
  <c r="F41" i="1"/>
  <c r="E41" i="1"/>
  <c r="AF41" i="1" s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AF38" i="1" s="1"/>
  <c r="T37" i="1"/>
  <c r="X35" i="1"/>
  <c r="W35" i="1"/>
  <c r="V35" i="1"/>
  <c r="U35" i="1"/>
  <c r="T35" i="1"/>
  <c r="S35" i="1"/>
  <c r="R35" i="1"/>
  <c r="R33" i="1" s="1"/>
  <c r="Q35" i="1"/>
  <c r="Q33" i="1" s="1"/>
  <c r="P35" i="1"/>
  <c r="O35" i="1"/>
  <c r="N35" i="1"/>
  <c r="M35" i="1"/>
  <c r="L35" i="1"/>
  <c r="K35" i="1"/>
  <c r="J35" i="1"/>
  <c r="I35" i="1"/>
  <c r="H35" i="1"/>
  <c r="G35" i="1"/>
  <c r="F35" i="1"/>
  <c r="F33" i="1" s="1"/>
  <c r="E35" i="1"/>
  <c r="E33" i="1" s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AF32" i="1" s="1"/>
  <c r="K32" i="1"/>
  <c r="J32" i="1"/>
  <c r="I32" i="1"/>
  <c r="H32" i="1"/>
  <c r="G32" i="1"/>
  <c r="F32" i="1"/>
  <c r="E32" i="1"/>
  <c r="N33" i="1" l="1"/>
  <c r="S39" i="1"/>
  <c r="S45" i="1"/>
  <c r="AB39" i="1"/>
  <c r="AD37" i="1"/>
  <c r="G33" i="1"/>
  <c r="AF33" i="1" s="1"/>
  <c r="X39" i="1"/>
  <c r="X45" i="1"/>
  <c r="Y43" i="1"/>
  <c r="Y40" i="1" s="1"/>
  <c r="L39" i="1"/>
  <c r="P33" i="1"/>
  <c r="T33" i="1"/>
  <c r="M45" i="1"/>
  <c r="U36" i="1"/>
  <c r="E37" i="1"/>
  <c r="Q37" i="1"/>
  <c r="I43" i="1"/>
  <c r="U43" i="1"/>
  <c r="M43" i="1"/>
  <c r="AF35" i="1"/>
  <c r="S33" i="1"/>
  <c r="H33" i="1"/>
  <c r="M39" i="1"/>
  <c r="I33" i="1"/>
  <c r="U33" i="1"/>
  <c r="N39" i="1"/>
  <c r="N45" i="1"/>
  <c r="V36" i="1"/>
  <c r="N36" i="1"/>
  <c r="F37" i="1"/>
  <c r="F34" i="1" s="1"/>
  <c r="J43" i="1"/>
  <c r="V43" i="1"/>
  <c r="V40" i="1" s="1"/>
  <c r="N43" i="1"/>
  <c r="N40" i="1" s="1"/>
  <c r="AD46" i="1"/>
  <c r="AC39" i="1"/>
  <c r="Z36" i="1"/>
  <c r="G37" i="1"/>
  <c r="O39" i="1"/>
  <c r="V33" i="1"/>
  <c r="P39" i="1"/>
  <c r="X33" i="1"/>
  <c r="E45" i="1"/>
  <c r="Q45" i="1"/>
  <c r="AE45" i="1"/>
  <c r="AD33" i="1"/>
  <c r="J33" i="1"/>
  <c r="O45" i="1"/>
  <c r="M33" i="1"/>
  <c r="F39" i="1"/>
  <c r="R39" i="1"/>
  <c r="F45" i="1"/>
  <c r="R45" i="1"/>
  <c r="AA40" i="1"/>
  <c r="R37" i="1"/>
  <c r="R34" i="1" s="1"/>
  <c r="G39" i="1"/>
  <c r="G45" i="1"/>
  <c r="AC40" i="1"/>
  <c r="AF48" i="1"/>
  <c r="AF46" i="1" s="1"/>
  <c r="Z43" i="1"/>
  <c r="AA36" i="1"/>
  <c r="AA34" i="1" s="1"/>
  <c r="AC37" i="1"/>
  <c r="AB46" i="1"/>
  <c r="AA46" i="1"/>
  <c r="AB42" i="1"/>
  <c r="AB40" i="1" s="1"/>
  <c r="AB34" i="1"/>
  <c r="Y46" i="1"/>
  <c r="Z34" i="1"/>
  <c r="AE34" i="1"/>
  <c r="AE40" i="1"/>
  <c r="Y34" i="1"/>
  <c r="AD40" i="1"/>
  <c r="AC34" i="1"/>
  <c r="Z33" i="1"/>
  <c r="AA45" i="1"/>
  <c r="Z45" i="1"/>
  <c r="Y45" i="1"/>
  <c r="AE39" i="1"/>
  <c r="AD34" i="1"/>
  <c r="Y33" i="1"/>
  <c r="AD39" i="1"/>
  <c r="Z46" i="1"/>
  <c r="U46" i="1"/>
  <c r="I46" i="1"/>
  <c r="M36" i="1"/>
  <c r="M34" i="1" s="1"/>
  <c r="R46" i="1"/>
  <c r="V39" i="1"/>
  <c r="I45" i="1"/>
  <c r="J39" i="1"/>
  <c r="U45" i="1"/>
  <c r="Q46" i="1"/>
  <c r="I36" i="1"/>
  <c r="J42" i="1"/>
  <c r="J40" i="1" s="1"/>
  <c r="K46" i="1"/>
  <c r="W46" i="1"/>
  <c r="H37" i="1"/>
  <c r="L37" i="1"/>
  <c r="L34" i="1" s="1"/>
  <c r="X37" i="1"/>
  <c r="X34" i="1" s="1"/>
  <c r="P43" i="1"/>
  <c r="P40" i="1" s="1"/>
  <c r="J37" i="1"/>
  <c r="J34" i="1" s="1"/>
  <c r="V37" i="1"/>
  <c r="V34" i="1" s="1"/>
  <c r="G34" i="1"/>
  <c r="S34" i="1"/>
  <c r="K36" i="1"/>
  <c r="W36" i="1"/>
  <c r="O37" i="1"/>
  <c r="O34" i="1" s="1"/>
  <c r="K43" i="1"/>
  <c r="W43" i="1"/>
  <c r="T34" i="1"/>
  <c r="P34" i="1"/>
  <c r="P46" i="1"/>
  <c r="O40" i="1"/>
  <c r="O33" i="1"/>
  <c r="M40" i="1"/>
  <c r="J46" i="1"/>
  <c r="V46" i="1"/>
  <c r="Q34" i="1"/>
  <c r="F46" i="1"/>
  <c r="S46" i="1"/>
  <c r="H46" i="1"/>
  <c r="T46" i="1"/>
  <c r="Q40" i="1"/>
  <c r="E34" i="1"/>
  <c r="I37" i="1"/>
  <c r="U37" i="1"/>
  <c r="U34" i="1" s="1"/>
  <c r="F40" i="1"/>
  <c r="R40" i="1"/>
  <c r="L42" i="1"/>
  <c r="L40" i="1" s="1"/>
  <c r="X42" i="1"/>
  <c r="X40" i="1" s="1"/>
  <c r="L46" i="1"/>
  <c r="X46" i="1"/>
  <c r="G40" i="1"/>
  <c r="S40" i="1"/>
  <c r="M46" i="1"/>
  <c r="K33" i="1"/>
  <c r="W33" i="1"/>
  <c r="N34" i="1"/>
  <c r="K37" i="1"/>
  <c r="W37" i="1"/>
  <c r="E39" i="1"/>
  <c r="Q39" i="1"/>
  <c r="H40" i="1"/>
  <c r="T40" i="1"/>
  <c r="K45" i="1"/>
  <c r="W45" i="1"/>
  <c r="N46" i="1"/>
  <c r="L33" i="1"/>
  <c r="I40" i="1"/>
  <c r="U40" i="1"/>
  <c r="L45" i="1"/>
  <c r="O46" i="1"/>
  <c r="E40" i="1"/>
  <c r="K42" i="1"/>
  <c r="W42" i="1"/>
  <c r="E46" i="1"/>
  <c r="AF45" i="1" l="1"/>
  <c r="AF36" i="1"/>
  <c r="AF37" i="1"/>
  <c r="AF39" i="1"/>
  <c r="AF43" i="1"/>
  <c r="AF42" i="1"/>
  <c r="AF40" i="1" s="1"/>
  <c r="Z40" i="1"/>
  <c r="W40" i="1"/>
  <c r="K34" i="1"/>
  <c r="K40" i="1"/>
  <c r="H34" i="1"/>
  <c r="I34" i="1"/>
  <c r="W34" i="1"/>
  <c r="AF34" i="1" l="1"/>
</calcChain>
</file>

<file path=xl/sharedStrings.xml><?xml version="1.0" encoding="utf-8"?>
<sst xmlns="http://schemas.openxmlformats.org/spreadsheetml/2006/main" count="5" uniqueCount="5">
  <si>
    <t>30 - NIMES DORO</t>
  </si>
  <si>
    <t>PROD CAM TOTAL</t>
  </si>
  <si>
    <t>V_PROD_CAM_DISTRI</t>
  </si>
  <si>
    <t>V_PROD_QUAI</t>
  </si>
  <si>
    <t>Données du prév jour - Déc-25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</si>
</sst>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"/>
  </numFmts>
  <fonts count="25" x14ac:knownFonts="1">
    <font>
      <sz val="11"/>
      <color theme="1"/>
      <name val="Aptos Narrow"/>
      <family val="2"/>
      <scheme val="minor"/>
    </font>
    <font>
      <sz val="9"/>
      <color rgb="FF333333"/>
      <name val="Arial"/>
      <family val="2"/>
    </font>
    <font>
      <sz val="9"/>
      <color rgb="FFFFFFFF"/>
      <name val="Arial"/>
      <family val="2"/>
    </font>
    <font>
      <b/>
      <sz val="15"/>
      <color rgb="FFFFFFFF"/>
      <name val="Arial"/>
      <family val="2"/>
    </font>
    <font>
      <b/>
      <sz val="9"/>
      <color rgb="FFFFFFFF"/>
      <name val="Arial"/>
      <family val="2"/>
    </font>
    <font>
      <b/>
      <sz val="17"/>
      <color rgb="FFFFFFFF"/>
      <name val="Arial"/>
      <family val="2"/>
    </font>
    <font>
      <b/>
      <sz val="11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333333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333333"/>
      <name val="Arial"/>
      <family val="2"/>
    </font>
    <font>
      <b/>
      <i/>
      <sz val="9"/>
      <color rgb="FF333333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i/>
      <sz val="8"/>
      <color rgb="FF000000"/>
      <name val="Arial"/>
      <family val="2"/>
    </font>
    <font>
      <b/>
      <sz val="11"/>
      <color rgb="FF000000"/>
      <name val="Arial"/>
      <family val="2"/>
    </font>
    <font>
      <b/>
      <i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u/>
      <sz val="8"/>
      <color rgb="FFFFFFFF"/>
      <name val="Arial"/>
      <family val="2"/>
    </font>
    <font>
      <b/>
      <sz val="8"/>
      <color rgb="FF000000"/>
      <name val="Arial"/>
      <family val="2"/>
    </font>
    <font>
      <b/>
      <u/>
      <sz val="8"/>
      <color rgb="FF000000"/>
      <name val="Arial"/>
      <family val="2"/>
    </font>
    <font>
      <b/>
      <sz val="10"/>
      <color rgb="FF0000FF"/>
      <name val="Arial"/>
      <family val="2"/>
    </font>
    <font>
      <b/>
      <sz val="11"/>
      <color rgb="FF333333"/>
      <name val="Arial"/>
      <family val="2"/>
    </font>
    <font>
      <b/>
      <sz val="9"/>
      <color rgb="FF000084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313494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FCFDFD"/>
        <bgColor rgb="FFFFFFFF"/>
      </patternFill>
    </fill>
    <fill>
      <patternFill patternType="solid">
        <fgColor rgb="FFCE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DEDEDE"/>
        <bgColor rgb="FFFFFFFF"/>
      </patternFill>
    </fill>
    <fill>
      <patternFill patternType="solid">
        <fgColor rgb="FF9CCEFF"/>
        <bgColor rgb="FFFFFFFF"/>
      </patternFill>
    </fill>
    <fill>
      <patternFill patternType="solid">
        <fgColor rgb="FFFFCECE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EFEFEF"/>
        <bgColor rgb="FFFFFFFF"/>
      </patternFill>
    </fill>
  </fills>
  <borders count="4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3877A6"/>
      </left>
      <right style="thin">
        <color rgb="FF3877A6"/>
      </right>
      <top style="thick">
        <color rgb="FF000000"/>
      </top>
      <bottom style="thin">
        <color rgb="FFA5A5B1"/>
      </bottom>
      <diagonal/>
    </border>
    <border>
      <left style="thin">
        <color rgb="FF3877A6"/>
      </left>
      <right style="thick">
        <color rgb="FF000000"/>
      </right>
      <top style="thick">
        <color rgb="FF000000"/>
      </top>
      <bottom style="thin">
        <color rgb="FFA5A5B1"/>
      </bottom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3877A6"/>
      </left>
      <right style="thick">
        <color rgb="FF000000"/>
      </right>
      <top style="thin">
        <color rgb="FFCAC9D9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EBEBEB"/>
      </left>
      <right style="thick">
        <color rgb="FF000000"/>
      </right>
      <top style="thin">
        <color rgb="FFCAC9D9"/>
      </top>
      <bottom style="thin">
        <color rgb="FFEBEBEB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FF0000"/>
      </right>
      <top style="thick">
        <color rgb="FF000000"/>
      </top>
      <bottom style="thin">
        <color rgb="FFFF0000"/>
      </bottom>
      <diagonal/>
    </border>
    <border>
      <left style="thin">
        <color rgb="FF3877A6"/>
      </left>
      <right style="thin">
        <color rgb="FF09558F"/>
      </right>
      <top style="thick">
        <color rgb="FF000000"/>
      </top>
      <bottom style="thin">
        <color rgb="FF3877A6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3877A6"/>
      </left>
      <right style="thin">
        <color rgb="FF09558F"/>
      </right>
      <top style="thin">
        <color rgb="FF3877A6"/>
      </top>
      <bottom style="thin">
        <color rgb="FF3877A6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FF0000"/>
      </right>
      <top style="thin">
        <color rgb="FFFF0000"/>
      </top>
      <bottom style="thick">
        <color rgb="FF000000"/>
      </bottom>
      <diagonal/>
    </border>
    <border>
      <left style="thin">
        <color rgb="FFEBEBEB"/>
      </left>
      <right style="thick">
        <color rgb="FF000000"/>
      </right>
      <top style="thin">
        <color rgb="FFCAC9D9"/>
      </top>
      <bottom style="thick">
        <color rgb="FF000000"/>
      </bottom>
      <diagonal/>
    </border>
    <border>
      <left style="thick">
        <color rgb="FF000000"/>
      </left>
      <right style="thin">
        <color rgb="FF3877A6"/>
      </right>
      <top style="thick">
        <color rgb="FF000000"/>
      </top>
      <bottom style="thin">
        <color rgb="FFA5A5B1"/>
      </bottom>
      <diagonal/>
    </border>
    <border>
      <left style="thick">
        <color rgb="FF3877A6"/>
      </left>
      <right style="thick">
        <color rgb="FF3877A6"/>
      </right>
      <top style="thick">
        <color rgb="FF000000"/>
      </top>
      <bottom style="thick">
        <color rgb="FFA5A5B1"/>
      </bottom>
      <diagonal/>
    </border>
    <border>
      <left style="thick">
        <color rgb="FFFFCECE"/>
      </left>
      <right style="thick">
        <color rgb="FF000000"/>
      </right>
      <top style="thick">
        <color rgb="FF000000"/>
      </top>
      <bottom style="thick">
        <color rgb="FFFFCECE"/>
      </bottom>
      <diagonal/>
    </border>
    <border>
      <left style="thick">
        <color rgb="FF000000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3877A6"/>
      </left>
      <right style="thick">
        <color rgb="FF000000"/>
      </right>
      <top style="thin">
        <color rgb="FF3877A6"/>
      </top>
      <bottom style="thin">
        <color rgb="FFA5A5B1"/>
      </bottom>
      <diagonal/>
    </border>
    <border>
      <left style="thick">
        <color rgb="FF000000"/>
      </left>
      <right style="thin">
        <color rgb="FFEBEBEB"/>
      </right>
      <top style="thin">
        <color rgb="FFEBEBEB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EBEBEB"/>
      </top>
      <bottom style="thick">
        <color rgb="FF000000"/>
      </bottom>
      <diagonal/>
    </border>
    <border>
      <left/>
      <right style="thick">
        <color rgb="FF000000"/>
      </right>
      <top style="thin">
        <color rgb="FFEBEBEB"/>
      </top>
      <bottom style="thick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left"/>
    </xf>
    <xf numFmtId="0" fontId="6" fillId="4" borderId="6" xfId="0" applyFont="1" applyFill="1" applyBorder="1" applyAlignment="1">
      <alignment horizontal="left" vertical="center"/>
    </xf>
    <xf numFmtId="49" fontId="7" fillId="4" borderId="0" xfId="0" applyNumberFormat="1" applyFont="1" applyFill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49" fontId="8" fillId="5" borderId="9" xfId="0" applyNumberFormat="1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right" vertical="center"/>
    </xf>
    <xf numFmtId="0" fontId="9" fillId="6" borderId="10" xfId="0" applyFont="1" applyFill="1" applyBorder="1" applyAlignment="1">
      <alignment horizontal="center" vertical="center"/>
    </xf>
    <xf numFmtId="49" fontId="10" fillId="6" borderId="11" xfId="0" applyNumberFormat="1" applyFont="1" applyFill="1" applyBorder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right" vertical="center"/>
    </xf>
    <xf numFmtId="0" fontId="13" fillId="6" borderId="13" xfId="0" applyFont="1" applyFill="1" applyBorder="1" applyAlignment="1">
      <alignment horizontal="center"/>
    </xf>
    <xf numFmtId="49" fontId="13" fillId="2" borderId="11" xfId="0" applyNumberFormat="1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/>
    </xf>
    <xf numFmtId="49" fontId="15" fillId="2" borderId="11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/>
    </xf>
    <xf numFmtId="49" fontId="10" fillId="2" borderId="11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left" vertical="center"/>
    </xf>
    <xf numFmtId="0" fontId="16" fillId="8" borderId="6" xfId="0" applyFont="1" applyFill="1" applyBorder="1" applyAlignment="1">
      <alignment horizontal="left" vertical="center"/>
    </xf>
    <xf numFmtId="0" fontId="13" fillId="8" borderId="0" xfId="0" applyFont="1" applyFill="1" applyAlignment="1">
      <alignment horizontal="left"/>
    </xf>
    <xf numFmtId="0" fontId="10" fillId="8" borderId="15" xfId="0" applyFont="1" applyFill="1" applyBorder="1" applyAlignment="1">
      <alignment horizontal="left"/>
    </xf>
    <xf numFmtId="0" fontId="13" fillId="6" borderId="16" xfId="0" applyFont="1" applyFill="1" applyBorder="1" applyAlignment="1">
      <alignment horizontal="center"/>
    </xf>
    <xf numFmtId="49" fontId="13" fillId="2" borderId="17" xfId="0" applyNumberFormat="1" applyFont="1" applyFill="1" applyBorder="1" applyAlignment="1">
      <alignment horizontal="center" vertical="center"/>
    </xf>
    <xf numFmtId="0" fontId="13" fillId="6" borderId="18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right" vertical="center"/>
    </xf>
    <xf numFmtId="0" fontId="4" fillId="9" borderId="22" xfId="0" applyFont="1" applyFill="1" applyBorder="1" applyAlignment="1">
      <alignment horizontal="left"/>
    </xf>
    <xf numFmtId="0" fontId="4" fillId="9" borderId="26" xfId="0" applyFont="1" applyFill="1" applyBorder="1" applyAlignment="1">
      <alignment horizontal="left"/>
    </xf>
    <xf numFmtId="164" fontId="7" fillId="3" borderId="11" xfId="0" applyNumberFormat="1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19" fillId="9" borderId="26" xfId="0" applyFont="1" applyFill="1" applyBorder="1" applyAlignment="1">
      <alignment horizontal="right" vertical="center"/>
    </xf>
    <xf numFmtId="2" fontId="4" fillId="4" borderId="9" xfId="0" applyNumberFormat="1" applyFont="1" applyFill="1" applyBorder="1" applyAlignment="1">
      <alignment horizontal="center" vertical="center"/>
    </xf>
    <xf numFmtId="2" fontId="4" fillId="4" borderId="15" xfId="0" applyNumberFormat="1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/>
    </xf>
    <xf numFmtId="2" fontId="1" fillId="2" borderId="9" xfId="0" applyNumberFormat="1" applyFont="1" applyFill="1" applyBorder="1" applyAlignment="1">
      <alignment horizontal="center" vertical="center"/>
    </xf>
    <xf numFmtId="2" fontId="11" fillId="2" borderId="15" xfId="0" applyNumberFormat="1" applyFont="1" applyFill="1" applyBorder="1" applyAlignment="1">
      <alignment horizontal="center" vertical="center"/>
    </xf>
    <xf numFmtId="0" fontId="20" fillId="9" borderId="26" xfId="0" applyFont="1" applyFill="1" applyBorder="1" applyAlignment="1">
      <alignment horizontal="left" vertical="center"/>
    </xf>
    <xf numFmtId="2" fontId="11" fillId="6" borderId="9" xfId="0" applyNumberFormat="1" applyFont="1" applyFill="1" applyBorder="1" applyAlignment="1">
      <alignment horizontal="center" vertical="center"/>
    </xf>
    <xf numFmtId="2" fontId="11" fillId="6" borderId="15" xfId="0" applyNumberFormat="1" applyFont="1" applyFill="1" applyBorder="1" applyAlignment="1">
      <alignment horizontal="center" vertical="center"/>
    </xf>
    <xf numFmtId="2" fontId="1" fillId="5" borderId="9" xfId="0" applyNumberFormat="1" applyFont="1" applyFill="1" applyBorder="1" applyAlignment="1">
      <alignment horizontal="center" vertical="center"/>
    </xf>
    <xf numFmtId="0" fontId="21" fillId="9" borderId="26" xfId="0" applyFont="1" applyFill="1" applyBorder="1" applyAlignment="1">
      <alignment horizontal="left" vertical="center"/>
    </xf>
    <xf numFmtId="2" fontId="11" fillId="8" borderId="9" xfId="0" applyNumberFormat="1" applyFont="1" applyFill="1" applyBorder="1" applyAlignment="1">
      <alignment horizontal="center" vertical="center"/>
    </xf>
    <xf numFmtId="2" fontId="11" fillId="8" borderId="15" xfId="0" applyNumberFormat="1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2" fontId="1" fillId="5" borderId="19" xfId="0" applyNumberFormat="1" applyFont="1" applyFill="1" applyBorder="1" applyAlignment="1">
      <alignment horizontal="center" vertical="center"/>
    </xf>
    <xf numFmtId="2" fontId="1" fillId="2" borderId="19" xfId="0" applyNumberFormat="1" applyFont="1" applyFill="1" applyBorder="1" applyAlignment="1">
      <alignment horizontal="center" vertical="center"/>
    </xf>
    <xf numFmtId="2" fontId="11" fillId="2" borderId="30" xfId="0" applyNumberFormat="1" applyFont="1" applyFill="1" applyBorder="1" applyAlignment="1">
      <alignment horizontal="center" vertical="center"/>
    </xf>
    <xf numFmtId="0" fontId="6" fillId="9" borderId="40" xfId="0" applyFont="1" applyFill="1" applyBorder="1" applyAlignment="1">
      <alignment horizontal="center"/>
    </xf>
    <xf numFmtId="164" fontId="7" fillId="9" borderId="5" xfId="0" applyNumberFormat="1" applyFont="1" applyFill="1" applyBorder="1" applyAlignment="1">
      <alignment horizontal="center"/>
    </xf>
    <xf numFmtId="0" fontId="4" fillId="9" borderId="40" xfId="0" applyFont="1" applyFill="1" applyBorder="1" applyAlignment="1">
      <alignment horizontal="center" vertical="center"/>
    </xf>
    <xf numFmtId="0" fontId="10" fillId="14" borderId="4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49" fontId="24" fillId="2" borderId="7" xfId="0" applyNumberFormat="1" applyFont="1" applyFill="1" applyBorder="1" applyAlignment="1">
      <alignment horizontal="left" vertical="center"/>
    </xf>
    <xf numFmtId="49" fontId="7" fillId="3" borderId="27" xfId="0" applyNumberFormat="1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49" fontId="10" fillId="2" borderId="7" xfId="0" applyNumberFormat="1" applyFont="1" applyFill="1" applyBorder="1" applyAlignment="1">
      <alignment horizontal="left" vertical="center"/>
    </xf>
    <xf numFmtId="49" fontId="4" fillId="13" borderId="27" xfId="0" applyNumberFormat="1" applyFont="1" applyFill="1" applyBorder="1" applyAlignment="1">
      <alignment horizontal="left"/>
    </xf>
    <xf numFmtId="49" fontId="4" fillId="13" borderId="11" xfId="0" applyNumberFormat="1" applyFont="1" applyFill="1" applyBorder="1" applyAlignment="1">
      <alignment horizontal="center" vertical="center"/>
    </xf>
    <xf numFmtId="49" fontId="6" fillId="3" borderId="11" xfId="0" applyNumberFormat="1" applyFont="1" applyFill="1" applyBorder="1" applyAlignment="1">
      <alignment horizontal="center" vertical="center"/>
    </xf>
    <xf numFmtId="49" fontId="8" fillId="5" borderId="9" xfId="0" applyNumberFormat="1" applyFont="1" applyFill="1" applyBorder="1" applyAlignment="1">
      <alignment horizontal="left" vertical="center"/>
    </xf>
    <xf numFmtId="49" fontId="6" fillId="9" borderId="27" xfId="0" applyNumberFormat="1" applyFont="1" applyFill="1" applyBorder="1" applyAlignment="1">
      <alignment horizontal="center"/>
    </xf>
    <xf numFmtId="49" fontId="8" fillId="5" borderId="36" xfId="0" applyNumberFormat="1" applyFont="1" applyFill="1" applyBorder="1" applyAlignment="1">
      <alignment horizontal="left"/>
    </xf>
    <xf numFmtId="0" fontId="23" fillId="11" borderId="37" xfId="0" applyFont="1" applyFill="1" applyBorder="1" applyAlignment="1">
      <alignment horizontal="center" vertical="center"/>
    </xf>
    <xf numFmtId="0" fontId="16" fillId="11" borderId="37" xfId="0" applyFont="1" applyFill="1" applyBorder="1" applyAlignment="1">
      <alignment horizontal="center" vertical="center"/>
    </xf>
    <xf numFmtId="0" fontId="16" fillId="12" borderId="38" xfId="0" applyFont="1" applyFill="1" applyBorder="1" applyAlignment="1">
      <alignment horizontal="center" vertical="center"/>
    </xf>
    <xf numFmtId="0" fontId="16" fillId="12" borderId="39" xfId="0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left"/>
    </xf>
    <xf numFmtId="49" fontId="6" fillId="3" borderId="33" xfId="0" applyNumberFormat="1" applyFont="1" applyFill="1" applyBorder="1" applyAlignment="1">
      <alignment horizontal="center"/>
    </xf>
    <xf numFmtId="49" fontId="6" fillId="3" borderId="34" xfId="0" applyNumberFormat="1" applyFont="1" applyFill="1" applyBorder="1" applyAlignment="1">
      <alignment horizontal="left"/>
    </xf>
    <xf numFmtId="49" fontId="9" fillId="2" borderId="14" xfId="0" applyNumberFormat="1" applyFont="1" applyFill="1" applyBorder="1" applyAlignment="1">
      <alignment horizontal="center" vertical="center"/>
    </xf>
    <xf numFmtId="49" fontId="22" fillId="2" borderId="14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49" fontId="22" fillId="2" borderId="35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/>
    </xf>
    <xf numFmtId="49" fontId="20" fillId="6" borderId="11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center" vertical="center"/>
    </xf>
    <xf numFmtId="49" fontId="6" fillId="3" borderId="31" xfId="0" applyNumberFormat="1" applyFont="1" applyFill="1" applyBorder="1" applyAlignment="1">
      <alignment horizontal="left"/>
    </xf>
    <xf numFmtId="49" fontId="6" fillId="3" borderId="32" xfId="0" applyNumberFormat="1" applyFont="1" applyFill="1" applyBorder="1" applyAlignment="1">
      <alignment horizontal="center"/>
    </xf>
    <xf numFmtId="49" fontId="21" fillId="8" borderId="11" xfId="0" applyNumberFormat="1" applyFont="1" applyFill="1" applyBorder="1" applyAlignment="1">
      <alignment horizontal="left" vertical="center"/>
    </xf>
    <xf numFmtId="49" fontId="20" fillId="10" borderId="11" xfId="0" applyNumberFormat="1" applyFont="1" applyFill="1" applyBorder="1" applyAlignment="1">
      <alignment horizontal="left" vertical="center"/>
    </xf>
    <xf numFmtId="49" fontId="19" fillId="4" borderId="11" xfId="0" applyNumberFormat="1" applyFont="1" applyFill="1" applyBorder="1" applyAlignment="1">
      <alignment horizontal="left" vertical="center"/>
    </xf>
    <xf numFmtId="49" fontId="7" fillId="3" borderId="24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/>
    </xf>
    <xf numFmtId="49" fontId="18" fillId="3" borderId="27" xfId="0" applyNumberFormat="1" applyFont="1" applyFill="1" applyBorder="1" applyAlignment="1">
      <alignment horizontal="left"/>
    </xf>
    <xf numFmtId="49" fontId="4" fillId="4" borderId="7" xfId="0" applyNumberFormat="1" applyFont="1" applyFill="1" applyBorder="1" applyAlignment="1">
      <alignment horizontal="left" vertical="center"/>
    </xf>
    <xf numFmtId="49" fontId="16" fillId="8" borderId="7" xfId="0" applyNumberFormat="1" applyFont="1" applyFill="1" applyBorder="1" applyAlignment="1">
      <alignment horizontal="left" vertical="center"/>
    </xf>
    <xf numFmtId="49" fontId="17" fillId="9" borderId="21" xfId="0" applyNumberFormat="1" applyFont="1" applyFill="1" applyBorder="1" applyAlignment="1">
      <alignment horizontal="center" vertical="center"/>
    </xf>
    <xf numFmtId="49" fontId="18" fillId="9" borderId="2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148B-F944-4015-8C68-48E57C3ECEE3}">
  <sheetPr codeName="Sheet1"/>
  <dimension ref="B1:AN153"/>
  <sheetViews>
    <sheetView tabSelected="1" topLeftCell="D50" workbookViewId="0">
      <selection activeCell="AA58" sqref="AA58"/>
    </sheetView>
  </sheetViews>
  <sheetFormatPr defaultColWidth="11.42578125" defaultRowHeight="15" x14ac:dyDescent="0.25"/>
  <cols>
    <col min="1" max="1" width="6.7109375" customWidth="1"/>
    <col min="2" max="2" width="3" customWidth="1"/>
    <col min="3" max="3" width="35.28515625" customWidth="1"/>
    <col min="4" max="4" width="4.28515625" customWidth="1"/>
    <col min="5" max="5" width="9.28515625" customWidth="1"/>
    <col min="6" max="6" width="8.85546875" customWidth="1"/>
    <col min="7" max="7" width="8.42578125" customWidth="1"/>
    <col min="8" max="8" width="9.28515625" customWidth="1"/>
    <col min="9" max="9" width="8.85546875" customWidth="1"/>
    <col min="10" max="10" width="8.42578125" customWidth="1"/>
    <col min="11" max="11" width="9.28515625" customWidth="1"/>
    <col min="12" max="12" width="8.85546875" customWidth="1"/>
    <col min="13" max="13" width="8.42578125" customWidth="1"/>
    <col min="14" max="14" width="9.28515625" customWidth="1"/>
    <col min="15" max="15" width="8.85546875" customWidth="1"/>
    <col min="16" max="16" width="8.42578125" customWidth="1"/>
    <col min="17" max="17" width="9.28515625" customWidth="1"/>
    <col min="18" max="25" width="8.85546875" customWidth="1"/>
    <col min="26" max="26" width="8.7109375" customWidth="1"/>
    <col min="27" max="27" width="8.85546875" customWidth="1"/>
    <col min="28" max="28" width="8.7109375" customWidth="1"/>
    <col min="29" max="29" width="9" customWidth="1"/>
    <col min="30" max="35" width="8.85546875" customWidth="1"/>
    <col min="36" max="36" width="58" customWidth="1"/>
    <col min="37" max="37" width="40.7109375" customWidth="1"/>
    <col min="38" max="40" width="13" customWidth="1"/>
    <col min="41" max="41" width="4.7109375" customWidth="1"/>
  </cols>
  <sheetData>
    <row r="1" spans="2:40" s="1" customFormat="1" ht="4.3499999999999996" customHeight="1" thickBot="1" x14ac:dyDescent="0.25"/>
    <row r="2" spans="2:40" s="1" customFormat="1" ht="27.75" customHeight="1" thickTop="1" x14ac:dyDescent="0.3">
      <c r="B2" s="2"/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AK2" s="7" t="s">
        <v>0</v>
      </c>
      <c r="AL2" s="7" t="s">
        <v>1</v>
      </c>
      <c r="AM2" s="7" t="s">
        <v>2</v>
      </c>
      <c r="AN2" s="7" t="s">
        <v>3</v>
      </c>
    </row>
    <row r="3" spans="2:40" s="1" customFormat="1" ht="24" customHeight="1" x14ac:dyDescent="0.2">
      <c r="B3" s="8"/>
      <c r="C3" s="95"/>
      <c r="D3" s="95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AK3" s="11" t="s">
        <v>4</v>
      </c>
      <c r="AL3" s="12">
        <v>37.39</v>
      </c>
      <c r="AM3" s="12">
        <v>23.23</v>
      </c>
      <c r="AN3" s="12">
        <v>8.3000000000000007</v>
      </c>
    </row>
    <row r="4" spans="2:40" s="1" customFormat="1" ht="19.7" customHeight="1" x14ac:dyDescent="0.2">
      <c r="B4" s="13"/>
      <c r="C4" s="14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7"/>
    </row>
    <row r="5" spans="2:40" s="1" customFormat="1" ht="19.7" customHeight="1" x14ac:dyDescent="0.2">
      <c r="B5" s="18"/>
      <c r="C5" s="19"/>
      <c r="D5" s="20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7"/>
    </row>
    <row r="6" spans="2:40" s="1" customFormat="1" ht="19.7" customHeight="1" x14ac:dyDescent="0.2">
      <c r="B6" s="18"/>
      <c r="C6" s="19"/>
      <c r="D6" s="20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17"/>
    </row>
    <row r="7" spans="2:40" s="1" customFormat="1" ht="16.5" customHeight="1" x14ac:dyDescent="0.2">
      <c r="B7" s="18"/>
      <c r="C7" s="19"/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17"/>
    </row>
    <row r="8" spans="2:40" s="1" customFormat="1" ht="19.7" customHeight="1" x14ac:dyDescent="0.2">
      <c r="B8" s="18"/>
      <c r="C8" s="19"/>
      <c r="D8" s="20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17"/>
    </row>
    <row r="9" spans="2:40" s="1" customFormat="1" ht="15.95" customHeight="1" x14ac:dyDescent="0.2">
      <c r="B9" s="22"/>
      <c r="C9" s="23"/>
      <c r="D9" s="24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17"/>
    </row>
    <row r="10" spans="2:40" s="1" customFormat="1" ht="19.7" customHeight="1" x14ac:dyDescent="0.2">
      <c r="B10" s="22"/>
      <c r="C10" s="23"/>
      <c r="D10" s="24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17"/>
    </row>
    <row r="11" spans="2:40" s="1" customFormat="1" ht="19.7" customHeight="1" x14ac:dyDescent="0.2">
      <c r="B11" s="18"/>
      <c r="C11" s="19"/>
      <c r="D11" s="20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17"/>
    </row>
    <row r="12" spans="2:40" s="1" customFormat="1" ht="19.7" customHeight="1" x14ac:dyDescent="0.2">
      <c r="B12" s="22"/>
      <c r="C12" s="23"/>
      <c r="D12" s="24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17"/>
    </row>
    <row r="13" spans="2:40" s="1" customFormat="1" ht="19.7" customHeight="1" x14ac:dyDescent="0.2">
      <c r="B13" s="22"/>
      <c r="C13" s="23"/>
      <c r="D13" s="24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17"/>
    </row>
    <row r="14" spans="2:40" s="1" customFormat="1" ht="19.7" customHeight="1" x14ac:dyDescent="0.2">
      <c r="B14" s="18"/>
      <c r="C14" s="25"/>
      <c r="D14" s="20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6"/>
    </row>
    <row r="15" spans="2:40" s="1" customFormat="1" ht="19.7" customHeight="1" x14ac:dyDescent="0.2">
      <c r="B15" s="13"/>
      <c r="C15" s="14"/>
      <c r="D15" s="15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7"/>
    </row>
    <row r="16" spans="2:40" s="1" customFormat="1" ht="19.7" customHeight="1" x14ac:dyDescent="0.2">
      <c r="B16" s="18"/>
      <c r="C16" s="19"/>
      <c r="D16" s="20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17"/>
    </row>
    <row r="17" spans="2:32" s="1" customFormat="1" ht="19.7" customHeight="1" x14ac:dyDescent="0.2">
      <c r="B17" s="18"/>
      <c r="C17" s="19"/>
      <c r="D17" s="20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17"/>
    </row>
    <row r="18" spans="2:32" s="1" customFormat="1" ht="19.7" customHeight="1" x14ac:dyDescent="0.2">
      <c r="B18" s="18"/>
      <c r="C18" s="19"/>
      <c r="D18" s="20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7"/>
    </row>
    <row r="19" spans="2:32" s="1" customFormat="1" ht="19.7" customHeight="1" x14ac:dyDescent="0.2">
      <c r="B19" s="18"/>
      <c r="C19" s="25"/>
      <c r="D19" s="2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6"/>
    </row>
    <row r="20" spans="2:32" s="1" customFormat="1" ht="21.95" customHeight="1" x14ac:dyDescent="0.2">
      <c r="B20" s="27"/>
      <c r="C20" s="96"/>
      <c r="D20" s="96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9"/>
    </row>
    <row r="21" spans="2:32" s="1" customFormat="1" ht="19.7" customHeight="1" x14ac:dyDescent="0.2">
      <c r="B21" s="13"/>
      <c r="C21" s="14"/>
      <c r="D21" s="15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7"/>
    </row>
    <row r="22" spans="2:32" s="1" customFormat="1" ht="17.649999999999999" customHeight="1" x14ac:dyDescent="0.2">
      <c r="B22" s="18"/>
      <c r="C22" s="19"/>
      <c r="D22" s="20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17"/>
    </row>
    <row r="23" spans="2:32" s="1" customFormat="1" ht="19.7" customHeight="1" x14ac:dyDescent="0.2">
      <c r="B23" s="18"/>
      <c r="C23" s="19"/>
      <c r="D23" s="20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17"/>
    </row>
    <row r="24" spans="2:32" s="1" customFormat="1" ht="19.7" customHeight="1" x14ac:dyDescent="0.2">
      <c r="B24" s="18"/>
      <c r="C24" s="19"/>
      <c r="D24" s="20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17"/>
    </row>
    <row r="25" spans="2:32" s="1" customFormat="1" ht="18.2" customHeight="1" thickBot="1" x14ac:dyDescent="0.25">
      <c r="B25" s="30"/>
      <c r="C25" s="31"/>
      <c r="D25" s="32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4"/>
    </row>
    <row r="26" spans="2:32" s="1" customFormat="1" ht="21.4" customHeight="1" thickTop="1" thickBot="1" x14ac:dyDescent="0.25"/>
    <row r="27" spans="2:32" s="1" customFormat="1" ht="22.9" customHeight="1" thickTop="1" thickBot="1" x14ac:dyDescent="0.25"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</row>
    <row r="28" spans="2:32" s="1" customFormat="1" ht="10.15" customHeight="1" thickTop="1" thickBot="1" x14ac:dyDescent="0.25"/>
    <row r="29" spans="2:32" s="1" customFormat="1" ht="18.2" customHeight="1" thickTop="1" thickBot="1" x14ac:dyDescent="0.25">
      <c r="B29" s="35"/>
      <c r="C29" s="98"/>
      <c r="D29" s="98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3"/>
    </row>
    <row r="30" spans="2:32" s="1" customFormat="1" ht="18.2" customHeight="1" thickTop="1" x14ac:dyDescent="0.2">
      <c r="B30" s="36"/>
      <c r="C30" s="94"/>
      <c r="D30" s="94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3"/>
    </row>
    <row r="31" spans="2:32" s="1" customFormat="1" ht="18.2" customHeight="1" x14ac:dyDescent="0.2">
      <c r="B31" s="36"/>
      <c r="C31" s="94"/>
      <c r="D31" s="94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8"/>
    </row>
    <row r="32" spans="2:32" s="1" customFormat="1" ht="17.100000000000001" customHeight="1" x14ac:dyDescent="0.2">
      <c r="B32" s="39"/>
      <c r="C32" s="91"/>
      <c r="D32" s="91"/>
      <c r="E32" s="40">
        <f t="shared" ref="E32:AE32" si="0">$AL$3</f>
        <v>37.39</v>
      </c>
      <c r="F32" s="40">
        <f t="shared" si="0"/>
        <v>37.39</v>
      </c>
      <c r="G32" s="40">
        <f t="shared" si="0"/>
        <v>37.39</v>
      </c>
      <c r="H32" s="40">
        <f t="shared" si="0"/>
        <v>37.39</v>
      </c>
      <c r="I32" s="40">
        <f t="shared" si="0"/>
        <v>37.39</v>
      </c>
      <c r="J32" s="40">
        <f t="shared" si="0"/>
        <v>37.39</v>
      </c>
      <c r="K32" s="40">
        <f t="shared" si="0"/>
        <v>37.39</v>
      </c>
      <c r="L32" s="40">
        <f t="shared" si="0"/>
        <v>37.39</v>
      </c>
      <c r="M32" s="40">
        <f t="shared" si="0"/>
        <v>37.39</v>
      </c>
      <c r="N32" s="40">
        <f t="shared" si="0"/>
        <v>37.39</v>
      </c>
      <c r="O32" s="40">
        <f t="shared" si="0"/>
        <v>37.39</v>
      </c>
      <c r="P32" s="40">
        <f t="shared" si="0"/>
        <v>37.39</v>
      </c>
      <c r="Q32" s="40">
        <f t="shared" si="0"/>
        <v>37.39</v>
      </c>
      <c r="R32" s="40">
        <f t="shared" si="0"/>
        <v>37.39</v>
      </c>
      <c r="S32" s="40">
        <f t="shared" si="0"/>
        <v>37.39</v>
      </c>
      <c r="T32" s="40">
        <f t="shared" si="0"/>
        <v>37.39</v>
      </c>
      <c r="U32" s="40">
        <f t="shared" si="0"/>
        <v>37.39</v>
      </c>
      <c r="V32" s="40">
        <f t="shared" si="0"/>
        <v>37.39</v>
      </c>
      <c r="W32" s="40">
        <f t="shared" si="0"/>
        <v>37.39</v>
      </c>
      <c r="X32" s="40">
        <f t="shared" si="0"/>
        <v>37.39</v>
      </c>
      <c r="Y32" s="40">
        <f t="shared" si="0"/>
        <v>37.39</v>
      </c>
      <c r="Z32" s="40">
        <f t="shared" si="0"/>
        <v>37.39</v>
      </c>
      <c r="AA32" s="40">
        <f t="shared" si="0"/>
        <v>37.39</v>
      </c>
      <c r="AB32" s="40">
        <f t="shared" si="0"/>
        <v>37.39</v>
      </c>
      <c r="AC32" s="40">
        <f t="shared" si="0"/>
        <v>37.39</v>
      </c>
      <c r="AD32" s="40">
        <f t="shared" si="0"/>
        <v>37.39</v>
      </c>
      <c r="AE32" s="40">
        <f t="shared" si="0"/>
        <v>37.39</v>
      </c>
      <c r="AF32" s="41">
        <f>AVERAGE(E32:AE32)</f>
        <v>37.389999999999993</v>
      </c>
    </row>
    <row r="33" spans="2:32" s="1" customFormat="1" ht="19.7" customHeight="1" x14ac:dyDescent="0.2">
      <c r="B33" s="42"/>
      <c r="C33" s="84"/>
      <c r="D33" s="84"/>
      <c r="E33" s="43">
        <f t="shared" ref="E33:X33" si="1">IFERROR(E35/E32,0)</f>
        <v>0</v>
      </c>
      <c r="F33" s="43">
        <f t="shared" si="1"/>
        <v>0</v>
      </c>
      <c r="G33" s="43">
        <f t="shared" si="1"/>
        <v>0</v>
      </c>
      <c r="H33" s="43">
        <f t="shared" si="1"/>
        <v>0</v>
      </c>
      <c r="I33" s="43">
        <f t="shared" si="1"/>
        <v>0</v>
      </c>
      <c r="J33" s="43">
        <f t="shared" si="1"/>
        <v>0</v>
      </c>
      <c r="K33" s="43">
        <f t="shared" si="1"/>
        <v>0</v>
      </c>
      <c r="L33" s="43">
        <f t="shared" si="1"/>
        <v>0</v>
      </c>
      <c r="M33" s="43">
        <f t="shared" si="1"/>
        <v>0</v>
      </c>
      <c r="N33" s="43">
        <f t="shared" si="1"/>
        <v>0</v>
      </c>
      <c r="O33" s="43">
        <f t="shared" si="1"/>
        <v>0</v>
      </c>
      <c r="P33" s="43">
        <f t="shared" si="1"/>
        <v>0</v>
      </c>
      <c r="Q33" s="43">
        <f t="shared" si="1"/>
        <v>0</v>
      </c>
      <c r="R33" s="43">
        <f t="shared" si="1"/>
        <v>0</v>
      </c>
      <c r="S33" s="43">
        <f t="shared" si="1"/>
        <v>0</v>
      </c>
      <c r="T33" s="43">
        <f t="shared" si="1"/>
        <v>0</v>
      </c>
      <c r="U33" s="43">
        <f t="shared" si="1"/>
        <v>0</v>
      </c>
      <c r="V33" s="43">
        <f t="shared" si="1"/>
        <v>0</v>
      </c>
      <c r="W33" s="43">
        <f t="shared" si="1"/>
        <v>0</v>
      </c>
      <c r="X33" s="43">
        <f t="shared" si="1"/>
        <v>0</v>
      </c>
      <c r="Y33" s="43">
        <f t="shared" ref="Y33:AE33" si="2">IFERROR(Y35/Y32,0)</f>
        <v>0</v>
      </c>
      <c r="Z33" s="43">
        <f t="shared" si="2"/>
        <v>0</v>
      </c>
      <c r="AA33" s="43">
        <f t="shared" si="2"/>
        <v>0</v>
      </c>
      <c r="AB33" s="43">
        <f t="shared" si="2"/>
        <v>0</v>
      </c>
      <c r="AC33" s="43">
        <f t="shared" si="2"/>
        <v>0</v>
      </c>
      <c r="AD33" s="43">
        <f t="shared" si="2"/>
        <v>0</v>
      </c>
      <c r="AE33" s="43">
        <f t="shared" si="2"/>
        <v>0</v>
      </c>
      <c r="AF33" s="44">
        <f>AVERAGE(E33:AE33)</f>
        <v>0</v>
      </c>
    </row>
    <row r="34" spans="2:32" s="1" customFormat="1" ht="19.7" customHeight="1" x14ac:dyDescent="0.2">
      <c r="B34" s="45"/>
      <c r="C34" s="90"/>
      <c r="D34" s="90"/>
      <c r="E34" s="46">
        <f t="shared" ref="E34:X34" si="3">IFERROR(E35/(E36+E37),0)</f>
        <v>0</v>
      </c>
      <c r="F34" s="46">
        <f t="shared" si="3"/>
        <v>0</v>
      </c>
      <c r="G34" s="46">
        <f t="shared" si="3"/>
        <v>0</v>
      </c>
      <c r="H34" s="46">
        <f t="shared" si="3"/>
        <v>0</v>
      </c>
      <c r="I34" s="46">
        <f t="shared" si="3"/>
        <v>0</v>
      </c>
      <c r="J34" s="46">
        <f t="shared" si="3"/>
        <v>0</v>
      </c>
      <c r="K34" s="46">
        <f t="shared" si="3"/>
        <v>0</v>
      </c>
      <c r="L34" s="46">
        <f t="shared" si="3"/>
        <v>0</v>
      </c>
      <c r="M34" s="46">
        <f t="shared" si="3"/>
        <v>0</v>
      </c>
      <c r="N34" s="46">
        <f t="shared" si="3"/>
        <v>0</v>
      </c>
      <c r="O34" s="46">
        <f t="shared" si="3"/>
        <v>0</v>
      </c>
      <c r="P34" s="46">
        <f t="shared" si="3"/>
        <v>0</v>
      </c>
      <c r="Q34" s="46">
        <f t="shared" si="3"/>
        <v>0</v>
      </c>
      <c r="R34" s="46">
        <f t="shared" si="3"/>
        <v>0</v>
      </c>
      <c r="S34" s="46">
        <f t="shared" si="3"/>
        <v>0</v>
      </c>
      <c r="T34" s="46">
        <f t="shared" si="3"/>
        <v>0</v>
      </c>
      <c r="U34" s="46">
        <f t="shared" si="3"/>
        <v>0</v>
      </c>
      <c r="V34" s="46">
        <f t="shared" si="3"/>
        <v>0</v>
      </c>
      <c r="W34" s="46">
        <f t="shared" si="3"/>
        <v>0</v>
      </c>
      <c r="X34" s="46">
        <f t="shared" si="3"/>
        <v>0</v>
      </c>
      <c r="Y34" s="46">
        <f t="shared" ref="Y34:AE34" si="4">IFERROR(Y35/(Y36+Y37),0)</f>
        <v>0</v>
      </c>
      <c r="Z34" s="46">
        <f t="shared" si="4"/>
        <v>0</v>
      </c>
      <c r="AA34" s="46">
        <f t="shared" si="4"/>
        <v>0</v>
      </c>
      <c r="AB34" s="46">
        <f t="shared" si="4"/>
        <v>0</v>
      </c>
      <c r="AC34" s="46">
        <f t="shared" si="4"/>
        <v>0</v>
      </c>
      <c r="AD34" s="46">
        <f t="shared" si="4"/>
        <v>0</v>
      </c>
      <c r="AE34" s="46">
        <f t="shared" si="4"/>
        <v>0</v>
      </c>
      <c r="AF34" s="47" t="str">
        <f>IFERROR(AF35/(AF36+AF37),"")</f>
        <v/>
      </c>
    </row>
    <row r="35" spans="2:32" s="1" customFormat="1" ht="19.7" customHeight="1" x14ac:dyDescent="0.2">
      <c r="B35" s="42"/>
      <c r="C35" s="84"/>
      <c r="D35" s="84"/>
      <c r="E35" s="48">
        <f t="shared" ref="E35:X35" si="5">IF(E6*(1+$E$52)+E7*(1+$H$52)=0,0,E6*(1+$E$52)+E7*(1+$H$52))</f>
        <v>0</v>
      </c>
      <c r="F35" s="43">
        <f t="shared" si="5"/>
        <v>0</v>
      </c>
      <c r="G35" s="48">
        <f t="shared" si="5"/>
        <v>0</v>
      </c>
      <c r="H35" s="43">
        <f t="shared" si="5"/>
        <v>0</v>
      </c>
      <c r="I35" s="48">
        <f t="shared" si="5"/>
        <v>0</v>
      </c>
      <c r="J35" s="43">
        <f t="shared" si="5"/>
        <v>0</v>
      </c>
      <c r="K35" s="48">
        <f t="shared" si="5"/>
        <v>0</v>
      </c>
      <c r="L35" s="43">
        <f t="shared" si="5"/>
        <v>0</v>
      </c>
      <c r="M35" s="48">
        <f t="shared" si="5"/>
        <v>0</v>
      </c>
      <c r="N35" s="43">
        <f t="shared" si="5"/>
        <v>0</v>
      </c>
      <c r="O35" s="48">
        <f t="shared" si="5"/>
        <v>0</v>
      </c>
      <c r="P35" s="43">
        <f t="shared" si="5"/>
        <v>0</v>
      </c>
      <c r="Q35" s="48">
        <f t="shared" si="5"/>
        <v>0</v>
      </c>
      <c r="R35" s="43">
        <f t="shared" si="5"/>
        <v>0</v>
      </c>
      <c r="S35" s="48">
        <f t="shared" si="5"/>
        <v>0</v>
      </c>
      <c r="T35" s="43">
        <f t="shared" si="5"/>
        <v>0</v>
      </c>
      <c r="U35" s="48">
        <f t="shared" si="5"/>
        <v>0</v>
      </c>
      <c r="V35" s="43">
        <f t="shared" si="5"/>
        <v>0</v>
      </c>
      <c r="W35" s="48">
        <f t="shared" si="5"/>
        <v>0</v>
      </c>
      <c r="X35" s="43">
        <f t="shared" si="5"/>
        <v>0</v>
      </c>
      <c r="Y35" s="43">
        <f t="shared" ref="Y35:AE35" si="6">IF(Y6*(1+$E$52)+Y7*(1+$H$52)=0,0,Y6*(1+$E$52)+Y7*(1+$H$52))</f>
        <v>0</v>
      </c>
      <c r="Z35" s="43">
        <f t="shared" si="6"/>
        <v>0</v>
      </c>
      <c r="AA35" s="43">
        <f t="shared" si="6"/>
        <v>0</v>
      </c>
      <c r="AB35" s="43">
        <f t="shared" si="6"/>
        <v>0</v>
      </c>
      <c r="AC35" s="43">
        <f t="shared" si="6"/>
        <v>0</v>
      </c>
      <c r="AD35" s="43">
        <f t="shared" si="6"/>
        <v>0</v>
      </c>
      <c r="AE35" s="43">
        <f t="shared" si="6"/>
        <v>0</v>
      </c>
      <c r="AF35" s="44">
        <f>SUM(E35:AE35)</f>
        <v>0</v>
      </c>
    </row>
    <row r="36" spans="2:32" s="1" customFormat="1" ht="19.7" customHeight="1" x14ac:dyDescent="0.2">
      <c r="B36" s="42"/>
      <c r="C36" s="84"/>
      <c r="D36" s="84"/>
      <c r="E36" s="48">
        <f t="shared" ref="E36:W36" si="7">E58+E59</f>
        <v>0</v>
      </c>
      <c r="F36" s="43">
        <f t="shared" si="7"/>
        <v>0</v>
      </c>
      <c r="G36" s="48">
        <f t="shared" si="7"/>
        <v>0</v>
      </c>
      <c r="H36" s="43">
        <f t="shared" si="7"/>
        <v>0</v>
      </c>
      <c r="I36" s="48">
        <f t="shared" si="7"/>
        <v>0</v>
      </c>
      <c r="J36" s="43">
        <f t="shared" si="7"/>
        <v>0</v>
      </c>
      <c r="K36" s="48">
        <f t="shared" si="7"/>
        <v>0</v>
      </c>
      <c r="L36" s="43">
        <f t="shared" si="7"/>
        <v>0</v>
      </c>
      <c r="M36" s="48">
        <f t="shared" si="7"/>
        <v>0</v>
      </c>
      <c r="N36" s="43">
        <f t="shared" si="7"/>
        <v>0</v>
      </c>
      <c r="O36" s="48">
        <f t="shared" si="7"/>
        <v>0</v>
      </c>
      <c r="P36" s="43">
        <f t="shared" si="7"/>
        <v>0</v>
      </c>
      <c r="Q36" s="48">
        <f t="shared" si="7"/>
        <v>0</v>
      </c>
      <c r="R36" s="43">
        <f t="shared" si="7"/>
        <v>0</v>
      </c>
      <c r="S36" s="48">
        <f t="shared" si="7"/>
        <v>0</v>
      </c>
      <c r="T36" s="43">
        <f t="shared" si="7"/>
        <v>0</v>
      </c>
      <c r="U36" s="48">
        <f t="shared" si="7"/>
        <v>0</v>
      </c>
      <c r="V36" s="43">
        <f t="shared" si="7"/>
        <v>0</v>
      </c>
      <c r="W36" s="48">
        <f t="shared" si="7"/>
        <v>0</v>
      </c>
      <c r="X36" s="43">
        <f>X58+X59</f>
        <v>0</v>
      </c>
      <c r="Y36" s="43">
        <f>Y58+Y59</f>
        <v>0</v>
      </c>
      <c r="Z36" s="43">
        <f>Z58+Z59</f>
        <v>0</v>
      </c>
      <c r="AA36" s="43">
        <f>AA58+AA59</f>
        <v>0</v>
      </c>
      <c r="AB36" s="43">
        <f>AB58+AB59</f>
        <v>0</v>
      </c>
      <c r="AC36" s="43">
        <f>AC58+AC59</f>
        <v>0</v>
      </c>
      <c r="AD36" s="43">
        <f>AD58+AD59</f>
        <v>0</v>
      </c>
      <c r="AE36" s="43">
        <f>AE58+AE59</f>
        <v>0</v>
      </c>
      <c r="AF36" s="44">
        <f>SUM(E36:AE36)</f>
        <v>0</v>
      </c>
    </row>
    <row r="37" spans="2:32" s="1" customFormat="1" ht="19.7" customHeight="1" x14ac:dyDescent="0.2">
      <c r="B37" s="42"/>
      <c r="C37" s="84"/>
      <c r="D37" s="84"/>
      <c r="E37" s="48">
        <f t="shared" ref="E37:W37" si="8">SUM(E60:E63)</f>
        <v>0</v>
      </c>
      <c r="F37" s="43">
        <f t="shared" si="8"/>
        <v>0</v>
      </c>
      <c r="G37" s="48">
        <f t="shared" si="8"/>
        <v>0</v>
      </c>
      <c r="H37" s="43">
        <f t="shared" si="8"/>
        <v>0</v>
      </c>
      <c r="I37" s="48">
        <f t="shared" si="8"/>
        <v>0</v>
      </c>
      <c r="J37" s="43">
        <f t="shared" si="8"/>
        <v>0</v>
      </c>
      <c r="K37" s="48">
        <f t="shared" si="8"/>
        <v>0</v>
      </c>
      <c r="L37" s="43">
        <f t="shared" si="8"/>
        <v>0</v>
      </c>
      <c r="M37" s="48">
        <f t="shared" si="8"/>
        <v>0</v>
      </c>
      <c r="N37" s="43">
        <f t="shared" si="8"/>
        <v>0</v>
      </c>
      <c r="O37" s="48">
        <f t="shared" si="8"/>
        <v>0</v>
      </c>
      <c r="P37" s="43">
        <f t="shared" si="8"/>
        <v>0</v>
      </c>
      <c r="Q37" s="48">
        <f t="shared" si="8"/>
        <v>0</v>
      </c>
      <c r="R37" s="43">
        <f t="shared" si="8"/>
        <v>0</v>
      </c>
      <c r="S37" s="48">
        <f t="shared" si="8"/>
        <v>0</v>
      </c>
      <c r="T37" s="43">
        <f t="shared" si="8"/>
        <v>0</v>
      </c>
      <c r="U37" s="48">
        <f t="shared" si="8"/>
        <v>0</v>
      </c>
      <c r="V37" s="43">
        <f t="shared" si="8"/>
        <v>0</v>
      </c>
      <c r="W37" s="48">
        <f t="shared" si="8"/>
        <v>0</v>
      </c>
      <c r="X37" s="43">
        <f>SUM(X60:X63)</f>
        <v>0</v>
      </c>
      <c r="Y37" s="43">
        <f>SUM(Y60:Y63)</f>
        <v>0</v>
      </c>
      <c r="Z37" s="43">
        <f>SUM(Z60:Z63)</f>
        <v>0</v>
      </c>
      <c r="AA37" s="43">
        <f>SUM(AA60:AA63)</f>
        <v>0</v>
      </c>
      <c r="AB37" s="43">
        <f>SUM(AB60:AB63)</f>
        <v>0</v>
      </c>
      <c r="AC37" s="43">
        <f>SUM(AC60:AC63)</f>
        <v>0</v>
      </c>
      <c r="AD37" s="43">
        <f>SUM(AD60:AD63)</f>
        <v>0</v>
      </c>
      <c r="AE37" s="43">
        <f>SUM(AE60:AE63)</f>
        <v>0</v>
      </c>
      <c r="AF37" s="44">
        <f>SUM(E37:AE37)</f>
        <v>0</v>
      </c>
    </row>
    <row r="38" spans="2:32" s="1" customFormat="1" ht="19.7" customHeight="1" x14ac:dyDescent="0.2">
      <c r="B38" s="39"/>
      <c r="C38" s="91"/>
      <c r="D38" s="91"/>
      <c r="E38" s="40">
        <f t="shared" ref="E38:AE38" si="9">$AM$3</f>
        <v>23.23</v>
      </c>
      <c r="F38" s="40">
        <f t="shared" si="9"/>
        <v>23.23</v>
      </c>
      <c r="G38" s="40">
        <f t="shared" si="9"/>
        <v>23.23</v>
      </c>
      <c r="H38" s="40">
        <f t="shared" si="9"/>
        <v>23.23</v>
      </c>
      <c r="I38" s="40">
        <f t="shared" si="9"/>
        <v>23.23</v>
      </c>
      <c r="J38" s="40">
        <f t="shared" si="9"/>
        <v>23.23</v>
      </c>
      <c r="K38" s="40">
        <f t="shared" si="9"/>
        <v>23.23</v>
      </c>
      <c r="L38" s="40">
        <f t="shared" si="9"/>
        <v>23.23</v>
      </c>
      <c r="M38" s="40">
        <f t="shared" si="9"/>
        <v>23.23</v>
      </c>
      <c r="N38" s="40">
        <f t="shared" si="9"/>
        <v>23.23</v>
      </c>
      <c r="O38" s="40">
        <f t="shared" si="9"/>
        <v>23.23</v>
      </c>
      <c r="P38" s="40">
        <f t="shared" si="9"/>
        <v>23.23</v>
      </c>
      <c r="Q38" s="40">
        <f t="shared" si="9"/>
        <v>23.23</v>
      </c>
      <c r="R38" s="40">
        <f t="shared" si="9"/>
        <v>23.23</v>
      </c>
      <c r="S38" s="40">
        <f t="shared" si="9"/>
        <v>23.23</v>
      </c>
      <c r="T38" s="40">
        <f t="shared" si="9"/>
        <v>23.23</v>
      </c>
      <c r="U38" s="40">
        <f t="shared" si="9"/>
        <v>23.23</v>
      </c>
      <c r="V38" s="40">
        <f t="shared" si="9"/>
        <v>23.23</v>
      </c>
      <c r="W38" s="40">
        <f t="shared" si="9"/>
        <v>23.23</v>
      </c>
      <c r="X38" s="40">
        <f t="shared" si="9"/>
        <v>23.23</v>
      </c>
      <c r="Y38" s="40">
        <f t="shared" si="9"/>
        <v>23.23</v>
      </c>
      <c r="Z38" s="40">
        <f t="shared" si="9"/>
        <v>23.23</v>
      </c>
      <c r="AA38" s="40">
        <f t="shared" si="9"/>
        <v>23.23</v>
      </c>
      <c r="AB38" s="40">
        <f t="shared" si="9"/>
        <v>23.23</v>
      </c>
      <c r="AC38" s="40">
        <f t="shared" si="9"/>
        <v>23.23</v>
      </c>
      <c r="AD38" s="40">
        <f t="shared" si="9"/>
        <v>23.23</v>
      </c>
      <c r="AE38" s="40">
        <f t="shared" si="9"/>
        <v>23.23</v>
      </c>
      <c r="AF38" s="41">
        <f>AVERAGE(E38:AE38)</f>
        <v>23.230000000000004</v>
      </c>
    </row>
    <row r="39" spans="2:32" s="1" customFormat="1" ht="19.7" customHeight="1" x14ac:dyDescent="0.2">
      <c r="B39" s="42"/>
      <c r="C39" s="84"/>
      <c r="D39" s="84"/>
      <c r="E39" s="48">
        <f t="shared" ref="E39:X39" si="10">IFERROR(E41/E38,0)</f>
        <v>0</v>
      </c>
      <c r="F39" s="43">
        <f t="shared" si="10"/>
        <v>0</v>
      </c>
      <c r="G39" s="48">
        <f t="shared" si="10"/>
        <v>0</v>
      </c>
      <c r="H39" s="43">
        <f t="shared" si="10"/>
        <v>0</v>
      </c>
      <c r="I39" s="48">
        <f t="shared" si="10"/>
        <v>0</v>
      </c>
      <c r="J39" s="43">
        <f t="shared" si="10"/>
        <v>0</v>
      </c>
      <c r="K39" s="48">
        <f t="shared" si="10"/>
        <v>0</v>
      </c>
      <c r="L39" s="43">
        <f t="shared" si="10"/>
        <v>0</v>
      </c>
      <c r="M39" s="48">
        <f t="shared" si="10"/>
        <v>0</v>
      </c>
      <c r="N39" s="43">
        <f t="shared" si="10"/>
        <v>0</v>
      </c>
      <c r="O39" s="48">
        <f t="shared" si="10"/>
        <v>0</v>
      </c>
      <c r="P39" s="43">
        <f t="shared" si="10"/>
        <v>0</v>
      </c>
      <c r="Q39" s="48">
        <f t="shared" si="10"/>
        <v>0</v>
      </c>
      <c r="R39" s="43">
        <f t="shared" si="10"/>
        <v>0</v>
      </c>
      <c r="S39" s="48">
        <f t="shared" si="10"/>
        <v>0</v>
      </c>
      <c r="T39" s="43">
        <f t="shared" si="10"/>
        <v>0</v>
      </c>
      <c r="U39" s="48">
        <f t="shared" si="10"/>
        <v>0</v>
      </c>
      <c r="V39" s="43">
        <f t="shared" si="10"/>
        <v>0</v>
      </c>
      <c r="W39" s="48">
        <f t="shared" si="10"/>
        <v>0</v>
      </c>
      <c r="X39" s="43">
        <f t="shared" si="10"/>
        <v>0</v>
      </c>
      <c r="Y39" s="43">
        <f t="shared" ref="Y39:AE39" si="11">IFERROR(Y41/Y38,0)</f>
        <v>0</v>
      </c>
      <c r="Z39" s="43">
        <f t="shared" si="11"/>
        <v>0</v>
      </c>
      <c r="AA39" s="43">
        <f t="shared" si="11"/>
        <v>0</v>
      </c>
      <c r="AB39" s="43">
        <f t="shared" si="11"/>
        <v>0</v>
      </c>
      <c r="AC39" s="43">
        <f t="shared" si="11"/>
        <v>0</v>
      </c>
      <c r="AD39" s="43">
        <f t="shared" si="11"/>
        <v>0</v>
      </c>
      <c r="AE39" s="43">
        <f t="shared" si="11"/>
        <v>0</v>
      </c>
      <c r="AF39" s="44">
        <f>AVERAGE(E39:AE39)</f>
        <v>0</v>
      </c>
    </row>
    <row r="40" spans="2:32" s="1" customFormat="1" ht="19.7" customHeight="1" x14ac:dyDescent="0.2">
      <c r="B40" s="45"/>
      <c r="C40" s="85"/>
      <c r="D40" s="85"/>
      <c r="E40" s="46">
        <f t="shared" ref="E40:X40" si="12">IFERROR(E41/(E42+E43),0)</f>
        <v>0</v>
      </c>
      <c r="F40" s="46">
        <f t="shared" si="12"/>
        <v>0</v>
      </c>
      <c r="G40" s="46">
        <f t="shared" si="12"/>
        <v>0</v>
      </c>
      <c r="H40" s="46">
        <f t="shared" si="12"/>
        <v>0</v>
      </c>
      <c r="I40" s="46">
        <f t="shared" si="12"/>
        <v>0</v>
      </c>
      <c r="J40" s="46">
        <f t="shared" si="12"/>
        <v>0</v>
      </c>
      <c r="K40" s="46">
        <f t="shared" si="12"/>
        <v>0</v>
      </c>
      <c r="L40" s="46">
        <f t="shared" si="12"/>
        <v>0</v>
      </c>
      <c r="M40" s="46">
        <f t="shared" si="12"/>
        <v>0</v>
      </c>
      <c r="N40" s="46">
        <f t="shared" si="12"/>
        <v>0</v>
      </c>
      <c r="O40" s="46">
        <f t="shared" si="12"/>
        <v>0</v>
      </c>
      <c r="P40" s="46">
        <f t="shared" si="12"/>
        <v>0</v>
      </c>
      <c r="Q40" s="46">
        <f t="shared" si="12"/>
        <v>0</v>
      </c>
      <c r="R40" s="46">
        <f t="shared" si="12"/>
        <v>0</v>
      </c>
      <c r="S40" s="46">
        <f t="shared" si="12"/>
        <v>0</v>
      </c>
      <c r="T40" s="46">
        <f t="shared" si="12"/>
        <v>0</v>
      </c>
      <c r="U40" s="46">
        <f t="shared" si="12"/>
        <v>0</v>
      </c>
      <c r="V40" s="46">
        <f t="shared" si="12"/>
        <v>0</v>
      </c>
      <c r="W40" s="46">
        <f t="shared" si="12"/>
        <v>0</v>
      </c>
      <c r="X40" s="46">
        <f t="shared" si="12"/>
        <v>0</v>
      </c>
      <c r="Y40" s="46">
        <f t="shared" ref="Y40:AE40" si="13">IFERROR(Y41/(Y42+Y43),0)</f>
        <v>0</v>
      </c>
      <c r="Z40" s="46">
        <f t="shared" si="13"/>
        <v>0</v>
      </c>
      <c r="AA40" s="46">
        <f t="shared" si="13"/>
        <v>0</v>
      </c>
      <c r="AB40" s="46">
        <f t="shared" si="13"/>
        <v>0</v>
      </c>
      <c r="AC40" s="46">
        <f t="shared" si="13"/>
        <v>0</v>
      </c>
      <c r="AD40" s="46">
        <f t="shared" si="13"/>
        <v>0</v>
      </c>
      <c r="AE40" s="46">
        <f t="shared" si="13"/>
        <v>0</v>
      </c>
      <c r="AF40" s="47">
        <f t="shared" ref="AF40" si="14">IFERROR(AF41/(AF42+AF43),0)</f>
        <v>0</v>
      </c>
    </row>
    <row r="41" spans="2:32" s="1" customFormat="1" ht="19.7" customHeight="1" x14ac:dyDescent="0.2">
      <c r="B41" s="42"/>
      <c r="C41" s="84"/>
      <c r="D41" s="84"/>
      <c r="E41" s="48">
        <f t="shared" ref="E41:X41" si="15">IF(E6*(1+$E$52)="","",E6*(1+$E$52))</f>
        <v>0</v>
      </c>
      <c r="F41" s="43">
        <f t="shared" si="15"/>
        <v>0</v>
      </c>
      <c r="G41" s="48">
        <f t="shared" si="15"/>
        <v>0</v>
      </c>
      <c r="H41" s="43">
        <f t="shared" si="15"/>
        <v>0</v>
      </c>
      <c r="I41" s="48">
        <f t="shared" si="15"/>
        <v>0</v>
      </c>
      <c r="J41" s="43">
        <f t="shared" si="15"/>
        <v>0</v>
      </c>
      <c r="K41" s="48">
        <f t="shared" si="15"/>
        <v>0</v>
      </c>
      <c r="L41" s="43">
        <f t="shared" si="15"/>
        <v>0</v>
      </c>
      <c r="M41" s="48">
        <f t="shared" si="15"/>
        <v>0</v>
      </c>
      <c r="N41" s="43">
        <f t="shared" si="15"/>
        <v>0</v>
      </c>
      <c r="O41" s="48">
        <f t="shared" si="15"/>
        <v>0</v>
      </c>
      <c r="P41" s="43">
        <f t="shared" si="15"/>
        <v>0</v>
      </c>
      <c r="Q41" s="48">
        <f t="shared" si="15"/>
        <v>0</v>
      </c>
      <c r="R41" s="43">
        <f t="shared" si="15"/>
        <v>0</v>
      </c>
      <c r="S41" s="48">
        <f t="shared" si="15"/>
        <v>0</v>
      </c>
      <c r="T41" s="43">
        <f t="shared" si="15"/>
        <v>0</v>
      </c>
      <c r="U41" s="48">
        <f t="shared" si="15"/>
        <v>0</v>
      </c>
      <c r="V41" s="43">
        <f t="shared" si="15"/>
        <v>0</v>
      </c>
      <c r="W41" s="48">
        <f t="shared" si="15"/>
        <v>0</v>
      </c>
      <c r="X41" s="43">
        <f t="shared" si="15"/>
        <v>0</v>
      </c>
      <c r="Y41" s="43">
        <f t="shared" ref="Y41:AE41" si="16">IF(Y6*(1+$E$52)="","",Y6*(1+$E$52))</f>
        <v>0</v>
      </c>
      <c r="Z41" s="43">
        <f t="shared" si="16"/>
        <v>0</v>
      </c>
      <c r="AA41" s="43">
        <f t="shared" si="16"/>
        <v>0</v>
      </c>
      <c r="AB41" s="43">
        <f t="shared" si="16"/>
        <v>0</v>
      </c>
      <c r="AC41" s="43">
        <f t="shared" si="16"/>
        <v>0</v>
      </c>
      <c r="AD41" s="43">
        <f t="shared" si="16"/>
        <v>0</v>
      </c>
      <c r="AE41" s="43">
        <f t="shared" si="16"/>
        <v>0</v>
      </c>
      <c r="AF41" s="44">
        <f>SUM(E41:AE41)</f>
        <v>0</v>
      </c>
    </row>
    <row r="42" spans="2:32" s="1" customFormat="1" ht="19.7" customHeight="1" x14ac:dyDescent="0.2">
      <c r="B42" s="42"/>
      <c r="C42" s="84"/>
      <c r="D42" s="84"/>
      <c r="E42" s="48">
        <f t="shared" ref="E42:W42" si="17">E59</f>
        <v>0</v>
      </c>
      <c r="F42" s="43">
        <f t="shared" si="17"/>
        <v>0</v>
      </c>
      <c r="G42" s="48">
        <f t="shared" si="17"/>
        <v>0</v>
      </c>
      <c r="H42" s="43">
        <f t="shared" si="17"/>
        <v>0</v>
      </c>
      <c r="I42" s="48">
        <f t="shared" si="17"/>
        <v>0</v>
      </c>
      <c r="J42" s="43">
        <f t="shared" si="17"/>
        <v>0</v>
      </c>
      <c r="K42" s="48">
        <f t="shared" si="17"/>
        <v>0</v>
      </c>
      <c r="L42" s="43">
        <f t="shared" si="17"/>
        <v>0</v>
      </c>
      <c r="M42" s="48">
        <f t="shared" si="17"/>
        <v>0</v>
      </c>
      <c r="N42" s="43">
        <f t="shared" si="17"/>
        <v>0</v>
      </c>
      <c r="O42" s="48">
        <f t="shared" si="17"/>
        <v>0</v>
      </c>
      <c r="P42" s="43">
        <f t="shared" si="17"/>
        <v>0</v>
      </c>
      <c r="Q42" s="48">
        <f t="shared" si="17"/>
        <v>0</v>
      </c>
      <c r="R42" s="43">
        <f t="shared" si="17"/>
        <v>0</v>
      </c>
      <c r="S42" s="48">
        <f t="shared" si="17"/>
        <v>0</v>
      </c>
      <c r="T42" s="43">
        <f t="shared" si="17"/>
        <v>0</v>
      </c>
      <c r="U42" s="48">
        <f t="shared" si="17"/>
        <v>0</v>
      </c>
      <c r="V42" s="43">
        <f t="shared" si="17"/>
        <v>0</v>
      </c>
      <c r="W42" s="48">
        <f t="shared" si="17"/>
        <v>0</v>
      </c>
      <c r="X42" s="43">
        <f>X59</f>
        <v>0</v>
      </c>
      <c r="Y42" s="43">
        <f>Y59</f>
        <v>0</v>
      </c>
      <c r="Z42" s="43">
        <f>Z59</f>
        <v>0</v>
      </c>
      <c r="AA42" s="43">
        <f>AA59</f>
        <v>0</v>
      </c>
      <c r="AB42" s="43">
        <f>AB59</f>
        <v>0</v>
      </c>
      <c r="AC42" s="43">
        <f>AC59</f>
        <v>0</v>
      </c>
      <c r="AD42" s="43">
        <f>AD59</f>
        <v>0</v>
      </c>
      <c r="AE42" s="43">
        <f>AE59</f>
        <v>0</v>
      </c>
      <c r="AF42" s="44">
        <f>SUM(E42:AE42)</f>
        <v>0</v>
      </c>
    </row>
    <row r="43" spans="2:32" s="1" customFormat="1" ht="19.7" customHeight="1" x14ac:dyDescent="0.2">
      <c r="B43" s="42"/>
      <c r="C43" s="84"/>
      <c r="D43" s="84"/>
      <c r="E43" s="48">
        <f t="shared" ref="E43:W43" si="18">E61+E62</f>
        <v>0</v>
      </c>
      <c r="F43" s="43">
        <f t="shared" si="18"/>
        <v>0</v>
      </c>
      <c r="G43" s="48">
        <f t="shared" si="18"/>
        <v>0</v>
      </c>
      <c r="H43" s="43">
        <f t="shared" si="18"/>
        <v>0</v>
      </c>
      <c r="I43" s="48">
        <f t="shared" si="18"/>
        <v>0</v>
      </c>
      <c r="J43" s="43">
        <f t="shared" si="18"/>
        <v>0</v>
      </c>
      <c r="K43" s="48">
        <f t="shared" si="18"/>
        <v>0</v>
      </c>
      <c r="L43" s="43">
        <f t="shared" si="18"/>
        <v>0</v>
      </c>
      <c r="M43" s="48">
        <f t="shared" si="18"/>
        <v>0</v>
      </c>
      <c r="N43" s="43">
        <f t="shared" si="18"/>
        <v>0</v>
      </c>
      <c r="O43" s="48">
        <f t="shared" si="18"/>
        <v>0</v>
      </c>
      <c r="P43" s="43">
        <f t="shared" si="18"/>
        <v>0</v>
      </c>
      <c r="Q43" s="48">
        <f t="shared" si="18"/>
        <v>0</v>
      </c>
      <c r="R43" s="43">
        <f t="shared" si="18"/>
        <v>0</v>
      </c>
      <c r="S43" s="48">
        <f t="shared" si="18"/>
        <v>0</v>
      </c>
      <c r="T43" s="43">
        <f t="shared" si="18"/>
        <v>0</v>
      </c>
      <c r="U43" s="48">
        <f t="shared" si="18"/>
        <v>0</v>
      </c>
      <c r="V43" s="43">
        <f t="shared" si="18"/>
        <v>0</v>
      </c>
      <c r="W43" s="48">
        <f t="shared" si="18"/>
        <v>0</v>
      </c>
      <c r="X43" s="43">
        <f>X61+X62</f>
        <v>0</v>
      </c>
      <c r="Y43" s="43">
        <f>Y61+Y62</f>
        <v>0</v>
      </c>
      <c r="Z43" s="43">
        <f>Z61+Z62</f>
        <v>0</v>
      </c>
      <c r="AA43" s="43">
        <f>AA61+AA62</f>
        <v>0</v>
      </c>
      <c r="AB43" s="43">
        <f>AB61+AB62</f>
        <v>0</v>
      </c>
      <c r="AC43" s="43">
        <f>AC61+AC62</f>
        <v>0</v>
      </c>
      <c r="AD43" s="43">
        <f>AD61+AD62</f>
        <v>0</v>
      </c>
      <c r="AE43" s="43">
        <f>AE61+AE62</f>
        <v>0</v>
      </c>
      <c r="AF43" s="44">
        <f>SUM(E43:AE43)</f>
        <v>0</v>
      </c>
    </row>
    <row r="44" spans="2:32" s="1" customFormat="1" ht="19.7" customHeight="1" x14ac:dyDescent="0.2">
      <c r="B44" s="49"/>
      <c r="C44" s="89"/>
      <c r="D44" s="89"/>
      <c r="E44" s="50">
        <f t="shared" ref="E44:W44" si="19">$AN$3</f>
        <v>8.3000000000000007</v>
      </c>
      <c r="F44" s="50">
        <f t="shared" si="19"/>
        <v>8.3000000000000007</v>
      </c>
      <c r="G44" s="50">
        <f t="shared" si="19"/>
        <v>8.3000000000000007</v>
      </c>
      <c r="H44" s="50">
        <f t="shared" si="19"/>
        <v>8.3000000000000007</v>
      </c>
      <c r="I44" s="50">
        <f t="shared" si="19"/>
        <v>8.3000000000000007</v>
      </c>
      <c r="J44" s="50">
        <f t="shared" si="19"/>
        <v>8.3000000000000007</v>
      </c>
      <c r="K44" s="50">
        <f t="shared" si="19"/>
        <v>8.3000000000000007</v>
      </c>
      <c r="L44" s="50">
        <f t="shared" si="19"/>
        <v>8.3000000000000007</v>
      </c>
      <c r="M44" s="50">
        <f t="shared" si="19"/>
        <v>8.3000000000000007</v>
      </c>
      <c r="N44" s="50">
        <f t="shared" si="19"/>
        <v>8.3000000000000007</v>
      </c>
      <c r="O44" s="50">
        <f t="shared" si="19"/>
        <v>8.3000000000000007</v>
      </c>
      <c r="P44" s="50">
        <f t="shared" si="19"/>
        <v>8.3000000000000007</v>
      </c>
      <c r="Q44" s="50">
        <f t="shared" si="19"/>
        <v>8.3000000000000007</v>
      </c>
      <c r="R44" s="50">
        <f t="shared" si="19"/>
        <v>8.3000000000000007</v>
      </c>
      <c r="S44" s="50">
        <f t="shared" si="19"/>
        <v>8.3000000000000007</v>
      </c>
      <c r="T44" s="50">
        <f t="shared" si="19"/>
        <v>8.3000000000000007</v>
      </c>
      <c r="U44" s="50">
        <f t="shared" si="19"/>
        <v>8.3000000000000007</v>
      </c>
      <c r="V44" s="50">
        <f t="shared" si="19"/>
        <v>8.3000000000000007</v>
      </c>
      <c r="W44" s="50">
        <f t="shared" si="19"/>
        <v>8.3000000000000007</v>
      </c>
      <c r="X44" s="50">
        <f>$AN$3</f>
        <v>8.3000000000000007</v>
      </c>
      <c r="Y44" s="50">
        <f t="shared" ref="Y44:AE44" si="20">$AN$3</f>
        <v>8.3000000000000007</v>
      </c>
      <c r="Z44" s="50">
        <f t="shared" si="20"/>
        <v>8.3000000000000007</v>
      </c>
      <c r="AA44" s="50">
        <f t="shared" si="20"/>
        <v>8.3000000000000007</v>
      </c>
      <c r="AB44" s="50">
        <f t="shared" si="20"/>
        <v>8.3000000000000007</v>
      </c>
      <c r="AC44" s="50">
        <f t="shared" si="20"/>
        <v>8.3000000000000007</v>
      </c>
      <c r="AD44" s="50">
        <f t="shared" si="20"/>
        <v>8.3000000000000007</v>
      </c>
      <c r="AE44" s="50">
        <f t="shared" si="20"/>
        <v>8.3000000000000007</v>
      </c>
      <c r="AF44" s="51">
        <f>AVERAGE(E44:AE44)</f>
        <v>8.3000000000000043</v>
      </c>
    </row>
    <row r="45" spans="2:32" s="1" customFormat="1" ht="19.7" customHeight="1" x14ac:dyDescent="0.2">
      <c r="B45" s="42"/>
      <c r="C45" s="84"/>
      <c r="D45" s="84"/>
      <c r="E45" s="48">
        <f t="shared" ref="E45:X45" si="21">IFERROR(E47/E44,"")</f>
        <v>0</v>
      </c>
      <c r="F45" s="43">
        <f t="shared" si="21"/>
        <v>0</v>
      </c>
      <c r="G45" s="48">
        <f t="shared" si="21"/>
        <v>0</v>
      </c>
      <c r="H45" s="43">
        <f t="shared" si="21"/>
        <v>0</v>
      </c>
      <c r="I45" s="48">
        <f t="shared" si="21"/>
        <v>0</v>
      </c>
      <c r="J45" s="43">
        <f t="shared" si="21"/>
        <v>0</v>
      </c>
      <c r="K45" s="48">
        <f t="shared" si="21"/>
        <v>0</v>
      </c>
      <c r="L45" s="43">
        <f t="shared" si="21"/>
        <v>0</v>
      </c>
      <c r="M45" s="48">
        <f t="shared" si="21"/>
        <v>0</v>
      </c>
      <c r="N45" s="43">
        <f t="shared" si="21"/>
        <v>0</v>
      </c>
      <c r="O45" s="48">
        <f t="shared" si="21"/>
        <v>0</v>
      </c>
      <c r="P45" s="43">
        <f t="shared" si="21"/>
        <v>0</v>
      </c>
      <c r="Q45" s="48">
        <f t="shared" si="21"/>
        <v>0</v>
      </c>
      <c r="R45" s="43">
        <f t="shared" si="21"/>
        <v>0</v>
      </c>
      <c r="S45" s="48">
        <f t="shared" si="21"/>
        <v>0</v>
      </c>
      <c r="T45" s="43">
        <f t="shared" si="21"/>
        <v>0</v>
      </c>
      <c r="U45" s="48">
        <f t="shared" si="21"/>
        <v>0</v>
      </c>
      <c r="V45" s="43">
        <f t="shared" si="21"/>
        <v>0</v>
      </c>
      <c r="W45" s="48">
        <f t="shared" si="21"/>
        <v>0</v>
      </c>
      <c r="X45" s="43">
        <f t="shared" si="21"/>
        <v>0</v>
      </c>
      <c r="Y45" s="43">
        <f t="shared" ref="Y45:AE45" si="22">IFERROR(Y47/Y44,"")</f>
        <v>0</v>
      </c>
      <c r="Z45" s="43">
        <f t="shared" si="22"/>
        <v>0</v>
      </c>
      <c r="AA45" s="43">
        <f t="shared" si="22"/>
        <v>0</v>
      </c>
      <c r="AB45" s="43">
        <f t="shared" si="22"/>
        <v>0</v>
      </c>
      <c r="AC45" s="43">
        <f t="shared" si="22"/>
        <v>0</v>
      </c>
      <c r="AD45" s="43">
        <f t="shared" si="22"/>
        <v>0</v>
      </c>
      <c r="AE45" s="43">
        <f t="shared" si="22"/>
        <v>0</v>
      </c>
      <c r="AF45" s="44">
        <f>AVERAGE(E45:AE45)</f>
        <v>0</v>
      </c>
    </row>
    <row r="46" spans="2:32" s="1" customFormat="1" ht="19.7" customHeight="1" x14ac:dyDescent="0.2">
      <c r="B46" s="45"/>
      <c r="C46" s="85"/>
      <c r="D46" s="85"/>
      <c r="E46" s="46" t="str">
        <f t="shared" ref="E46:X46" si="23">IFERROR(E47/E48,"")</f>
        <v/>
      </c>
      <c r="F46" s="46" t="str">
        <f t="shared" si="23"/>
        <v/>
      </c>
      <c r="G46" s="46" t="str">
        <f t="shared" si="23"/>
        <v/>
      </c>
      <c r="H46" s="46" t="str">
        <f t="shared" si="23"/>
        <v/>
      </c>
      <c r="I46" s="46" t="str">
        <f t="shared" si="23"/>
        <v/>
      </c>
      <c r="J46" s="46" t="str">
        <f t="shared" si="23"/>
        <v/>
      </c>
      <c r="K46" s="46" t="str">
        <f t="shared" si="23"/>
        <v/>
      </c>
      <c r="L46" s="46" t="str">
        <f t="shared" si="23"/>
        <v/>
      </c>
      <c r="M46" s="46" t="str">
        <f t="shared" si="23"/>
        <v/>
      </c>
      <c r="N46" s="46" t="str">
        <f t="shared" si="23"/>
        <v/>
      </c>
      <c r="O46" s="46" t="str">
        <f t="shared" si="23"/>
        <v/>
      </c>
      <c r="P46" s="46" t="str">
        <f t="shared" si="23"/>
        <v/>
      </c>
      <c r="Q46" s="46" t="str">
        <f t="shared" si="23"/>
        <v/>
      </c>
      <c r="R46" s="46" t="str">
        <f t="shared" si="23"/>
        <v/>
      </c>
      <c r="S46" s="46" t="str">
        <f t="shared" si="23"/>
        <v/>
      </c>
      <c r="T46" s="46" t="str">
        <f t="shared" si="23"/>
        <v/>
      </c>
      <c r="U46" s="46" t="str">
        <f t="shared" si="23"/>
        <v/>
      </c>
      <c r="V46" s="46" t="str">
        <f t="shared" si="23"/>
        <v/>
      </c>
      <c r="W46" s="46" t="str">
        <f t="shared" si="23"/>
        <v/>
      </c>
      <c r="X46" s="46" t="str">
        <f t="shared" si="23"/>
        <v/>
      </c>
      <c r="Y46" s="46" t="str">
        <f t="shared" ref="Y46:AE46" si="24">IFERROR(Y47/Y48,"")</f>
        <v/>
      </c>
      <c r="Z46" s="46" t="str">
        <f t="shared" si="24"/>
        <v/>
      </c>
      <c r="AA46" s="46" t="str">
        <f t="shared" si="24"/>
        <v/>
      </c>
      <c r="AB46" s="46" t="str">
        <f t="shared" si="24"/>
        <v/>
      </c>
      <c r="AC46" s="46" t="str">
        <f t="shared" si="24"/>
        <v/>
      </c>
      <c r="AD46" s="46" t="str">
        <f t="shared" si="24"/>
        <v/>
      </c>
      <c r="AE46" s="46" t="str">
        <f t="shared" si="24"/>
        <v/>
      </c>
      <c r="AF46" s="47" t="str">
        <f t="shared" ref="AF46" si="25">IFERROR(AF47/AF48,"")</f>
        <v/>
      </c>
    </row>
    <row r="47" spans="2:32" s="1" customFormat="1" ht="19.7" customHeight="1" x14ac:dyDescent="0.2">
      <c r="B47" s="42"/>
      <c r="C47" s="84"/>
      <c r="D47" s="84"/>
      <c r="E47" s="48">
        <f t="shared" ref="E47:X47" si="26">IF(E23*(1+$N$52)+E24*(1+$K$52)=0,0,E23*(1+$N$52)+E24*(1+$K$52))</f>
        <v>0</v>
      </c>
      <c r="F47" s="43">
        <f t="shared" si="26"/>
        <v>0</v>
      </c>
      <c r="G47" s="48">
        <f t="shared" si="26"/>
        <v>0</v>
      </c>
      <c r="H47" s="43">
        <f t="shared" si="26"/>
        <v>0</v>
      </c>
      <c r="I47" s="48">
        <f t="shared" si="26"/>
        <v>0</v>
      </c>
      <c r="J47" s="43">
        <f t="shared" si="26"/>
        <v>0</v>
      </c>
      <c r="K47" s="48">
        <f t="shared" si="26"/>
        <v>0</v>
      </c>
      <c r="L47" s="43">
        <f t="shared" si="26"/>
        <v>0</v>
      </c>
      <c r="M47" s="48">
        <f t="shared" si="26"/>
        <v>0</v>
      </c>
      <c r="N47" s="43">
        <f t="shared" si="26"/>
        <v>0</v>
      </c>
      <c r="O47" s="48">
        <f t="shared" si="26"/>
        <v>0</v>
      </c>
      <c r="P47" s="43">
        <f t="shared" si="26"/>
        <v>0</v>
      </c>
      <c r="Q47" s="48">
        <f t="shared" si="26"/>
        <v>0</v>
      </c>
      <c r="R47" s="43">
        <f t="shared" si="26"/>
        <v>0</v>
      </c>
      <c r="S47" s="48">
        <f t="shared" si="26"/>
        <v>0</v>
      </c>
      <c r="T47" s="43">
        <f t="shared" si="26"/>
        <v>0</v>
      </c>
      <c r="U47" s="48">
        <f t="shared" si="26"/>
        <v>0</v>
      </c>
      <c r="V47" s="43">
        <f t="shared" si="26"/>
        <v>0</v>
      </c>
      <c r="W47" s="48">
        <f t="shared" si="26"/>
        <v>0</v>
      </c>
      <c r="X47" s="43">
        <f t="shared" si="26"/>
        <v>0</v>
      </c>
      <c r="Y47" s="43">
        <f t="shared" ref="Y47:AE47" si="27">IF(Y23*(1+$N$52)+Y24*(1+$K$52)=0,0,Y23*(1+$N$52)+Y24*(1+$K$52))</f>
        <v>0</v>
      </c>
      <c r="Z47" s="43">
        <f t="shared" si="27"/>
        <v>0</v>
      </c>
      <c r="AA47" s="43">
        <f t="shared" si="27"/>
        <v>0</v>
      </c>
      <c r="AB47" s="43">
        <f t="shared" si="27"/>
        <v>0</v>
      </c>
      <c r="AC47" s="43">
        <f t="shared" si="27"/>
        <v>0</v>
      </c>
      <c r="AD47" s="43">
        <f t="shared" si="27"/>
        <v>0</v>
      </c>
      <c r="AE47" s="43">
        <f t="shared" si="27"/>
        <v>0</v>
      </c>
      <c r="AF47" s="44">
        <f>SUM(E47:AE47)</f>
        <v>0</v>
      </c>
    </row>
    <row r="48" spans="2:32" s="1" customFormat="1" ht="19.7" customHeight="1" thickBot="1" x14ac:dyDescent="0.25">
      <c r="B48" s="52"/>
      <c r="C48" s="86"/>
      <c r="D48" s="86"/>
      <c r="E48" s="53">
        <f t="shared" ref="E48:W48" si="28">E64</f>
        <v>0</v>
      </c>
      <c r="F48" s="54">
        <f t="shared" si="28"/>
        <v>0</v>
      </c>
      <c r="G48" s="53">
        <f t="shared" si="28"/>
        <v>0</v>
      </c>
      <c r="H48" s="54">
        <f t="shared" si="28"/>
        <v>0</v>
      </c>
      <c r="I48" s="53">
        <f t="shared" si="28"/>
        <v>0</v>
      </c>
      <c r="J48" s="54">
        <f t="shared" si="28"/>
        <v>0</v>
      </c>
      <c r="K48" s="53">
        <f t="shared" si="28"/>
        <v>0</v>
      </c>
      <c r="L48" s="54">
        <f t="shared" si="28"/>
        <v>0</v>
      </c>
      <c r="M48" s="53">
        <f t="shared" si="28"/>
        <v>0</v>
      </c>
      <c r="N48" s="54">
        <f t="shared" si="28"/>
        <v>0</v>
      </c>
      <c r="O48" s="53">
        <f t="shared" si="28"/>
        <v>0</v>
      </c>
      <c r="P48" s="54">
        <f t="shared" si="28"/>
        <v>0</v>
      </c>
      <c r="Q48" s="53">
        <f t="shared" si="28"/>
        <v>0</v>
      </c>
      <c r="R48" s="54">
        <f t="shared" si="28"/>
        <v>0</v>
      </c>
      <c r="S48" s="53">
        <f t="shared" si="28"/>
        <v>0</v>
      </c>
      <c r="T48" s="54">
        <f t="shared" si="28"/>
        <v>0</v>
      </c>
      <c r="U48" s="53">
        <f t="shared" si="28"/>
        <v>0</v>
      </c>
      <c r="V48" s="54">
        <f t="shared" si="28"/>
        <v>0</v>
      </c>
      <c r="W48" s="53">
        <f t="shared" si="28"/>
        <v>0</v>
      </c>
      <c r="X48" s="54">
        <f>X64</f>
        <v>0</v>
      </c>
      <c r="Y48" s="54">
        <f>Y64</f>
        <v>0</v>
      </c>
      <c r="Z48" s="54">
        <f>Z64</f>
        <v>0</v>
      </c>
      <c r="AA48" s="54">
        <f>AA64</f>
        <v>0</v>
      </c>
      <c r="AB48" s="54">
        <f>AB64</f>
        <v>0</v>
      </c>
      <c r="AC48" s="54">
        <f>AC64</f>
        <v>0</v>
      </c>
      <c r="AD48" s="54">
        <f>AD64</f>
        <v>0</v>
      </c>
      <c r="AE48" s="54">
        <f>AE64</f>
        <v>0</v>
      </c>
      <c r="AF48" s="55">
        <f>SUM(E48:AE48)</f>
        <v>0</v>
      </c>
    </row>
    <row r="49" spans="2:31" s="1" customFormat="1" ht="25.5" customHeight="1" thickTop="1" thickBot="1" x14ac:dyDescent="0.25"/>
    <row r="50" spans="2:31" s="1" customFormat="1" ht="18.2" customHeight="1" thickTop="1" thickBot="1" x14ac:dyDescent="0.3">
      <c r="C50" s="87"/>
      <c r="D50" s="87"/>
      <c r="E50" s="88"/>
      <c r="F50" s="88"/>
      <c r="G50" s="88"/>
      <c r="H50" s="88"/>
      <c r="I50" s="88"/>
      <c r="J50" s="88"/>
      <c r="K50" s="78"/>
      <c r="L50" s="78"/>
      <c r="M50" s="78"/>
      <c r="N50" s="78"/>
      <c r="O50" s="78"/>
      <c r="P50" s="78"/>
    </row>
    <row r="51" spans="2:31" s="1" customFormat="1" ht="18.2" customHeight="1" thickTop="1" x14ac:dyDescent="0.25">
      <c r="C51" s="79"/>
      <c r="D51" s="79"/>
      <c r="E51" s="80"/>
      <c r="F51" s="80"/>
      <c r="G51" s="80"/>
      <c r="H51" s="81"/>
      <c r="I51" s="81"/>
      <c r="J51" s="81"/>
      <c r="K51" s="82"/>
      <c r="L51" s="82"/>
      <c r="M51" s="82"/>
      <c r="N51" s="83"/>
      <c r="O51" s="83"/>
      <c r="P51" s="83"/>
    </row>
    <row r="52" spans="2:31" s="1" customFormat="1" ht="18.2" customHeight="1" thickBot="1" x14ac:dyDescent="0.3">
      <c r="C52" s="72"/>
      <c r="D52" s="72"/>
      <c r="E52" s="73"/>
      <c r="F52" s="73"/>
      <c r="G52" s="73"/>
      <c r="H52" s="74"/>
      <c r="I52" s="74"/>
      <c r="J52" s="74"/>
      <c r="K52" s="75"/>
      <c r="L52" s="75"/>
      <c r="M52" s="75"/>
      <c r="N52" s="76"/>
      <c r="O52" s="76"/>
      <c r="P52" s="76"/>
    </row>
    <row r="53" spans="2:31" s="1" customFormat="1" ht="19.149999999999999" customHeight="1" thickTop="1" x14ac:dyDescent="0.2"/>
    <row r="54" spans="2:31" s="1" customFormat="1" ht="27.75" customHeight="1" x14ac:dyDescent="0.3">
      <c r="C54" s="77"/>
      <c r="D54" s="77"/>
    </row>
    <row r="55" spans="2:31" s="1" customFormat="1" ht="26.1" customHeight="1" x14ac:dyDescent="0.2">
      <c r="C55" s="70"/>
      <c r="D55" s="70"/>
    </row>
    <row r="56" spans="2:31" s="1" customFormat="1" ht="22.35" customHeight="1" x14ac:dyDescent="0.2"/>
    <row r="57" spans="2:31" s="1" customFormat="1" ht="18.2" customHeight="1" x14ac:dyDescent="0.25">
      <c r="B57" s="56"/>
      <c r="C57" s="71"/>
      <c r="D57" s="71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</row>
    <row r="58" spans="2:31" s="1" customFormat="1" ht="18.2" customHeight="1" x14ac:dyDescent="0.2">
      <c r="B58" s="58"/>
      <c r="C58" s="68"/>
      <c r="D58" s="68"/>
      <c r="E58" s="59">
        <f t="shared" ref="E58:W58" si="29">SUMIF($B$75:$B$765,"521",E75:E767)+SUMIF($B$75:$B$765,"921",E74:E766)</f>
        <v>0</v>
      </c>
      <c r="F58" s="59">
        <f t="shared" si="29"/>
        <v>0</v>
      </c>
      <c r="G58" s="59">
        <f t="shared" si="29"/>
        <v>0</v>
      </c>
      <c r="H58" s="59">
        <f t="shared" si="29"/>
        <v>0</v>
      </c>
      <c r="I58" s="59">
        <f t="shared" si="29"/>
        <v>0</v>
      </c>
      <c r="J58" s="59">
        <f t="shared" si="29"/>
        <v>0</v>
      </c>
      <c r="K58" s="59">
        <f t="shared" si="29"/>
        <v>0</v>
      </c>
      <c r="L58" s="59">
        <f t="shared" si="29"/>
        <v>0</v>
      </c>
      <c r="M58" s="59">
        <f t="shared" si="29"/>
        <v>0</v>
      </c>
      <c r="N58" s="59">
        <f t="shared" si="29"/>
        <v>0</v>
      </c>
      <c r="O58" s="59">
        <f t="shared" si="29"/>
        <v>0</v>
      </c>
      <c r="P58" s="59">
        <f t="shared" si="29"/>
        <v>0</v>
      </c>
      <c r="Q58" s="59">
        <f t="shared" si="29"/>
        <v>0</v>
      </c>
      <c r="R58" s="59">
        <f t="shared" si="29"/>
        <v>0</v>
      </c>
      <c r="S58" s="59">
        <f t="shared" si="29"/>
        <v>0</v>
      </c>
      <c r="T58" s="59">
        <f t="shared" si="29"/>
        <v>0</v>
      </c>
      <c r="U58" s="59">
        <f t="shared" si="29"/>
        <v>0</v>
      </c>
      <c r="V58" s="59">
        <f t="shared" si="29"/>
        <v>0</v>
      </c>
      <c r="W58" s="59">
        <f t="shared" si="29"/>
        <v>0</v>
      </c>
      <c r="X58" s="59">
        <f>SUMIF($B$75:$B$765,"521",X75:X767)+SUMIF($B$75:$B$765,"921",X74:X766)</f>
        <v>0</v>
      </c>
      <c r="Y58" s="59">
        <f>SUMIF($B$75:$B$765,"521",Y75:Y767)+SUMIF($B$75:$B$765,"921",Y74:Y766)</f>
        <v>0</v>
      </c>
      <c r="Z58" s="59">
        <f>SUMIF($B$75:$B$765,"521",Z75:Z767)+SUMIF($B$75:$B$765,"921",Z74:Z766)</f>
        <v>0</v>
      </c>
      <c r="AA58" s="59">
        <f>SUMIF($B$75:$B$765,"521",AA75:AA767)+SUMIF($B$75:$B$765,"921",AA74:AA766)</f>
        <v>0</v>
      </c>
      <c r="AB58" s="59">
        <f>SUMIF($B$75:$B$765,"521",AB75:AB767)+SUMIF($B$75:$B$765,"921",AB74:AB766)</f>
        <v>0</v>
      </c>
      <c r="AC58" s="59">
        <f>SUMIF($B$75:$B$765,"521",AC75:AC767)+SUMIF($B$75:$B$765,"921",AC74:AC766)</f>
        <v>0</v>
      </c>
      <c r="AD58" s="59">
        <f>SUMIF($B$75:$B$765,"521",AD75:AD767)+SUMIF($B$75:$B$765,"921",AD74:AD766)</f>
        <v>0</v>
      </c>
      <c r="AE58" s="59">
        <f>SUMIF($B$75:$B$765,"521",AE75:AE767)+SUMIF($B$75:$B$765,"921",AE74:AE766)</f>
        <v>0</v>
      </c>
    </row>
    <row r="59" spans="2:31" s="1" customFormat="1" ht="18.2" customHeight="1" x14ac:dyDescent="0.2">
      <c r="B59" s="58"/>
      <c r="C59" s="68"/>
      <c r="D59" s="68"/>
      <c r="E59" s="59">
        <f t="shared" ref="E59:W59" si="30">SUMIF($B$75:$B$765,"522",E75:E767)+SUMIF($B$75:$B$765,"922",E75:E767)</f>
        <v>0</v>
      </c>
      <c r="F59" s="59">
        <f t="shared" si="30"/>
        <v>0</v>
      </c>
      <c r="G59" s="59">
        <f t="shared" si="30"/>
        <v>0</v>
      </c>
      <c r="H59" s="59">
        <f t="shared" si="30"/>
        <v>0</v>
      </c>
      <c r="I59" s="59">
        <f t="shared" si="30"/>
        <v>0</v>
      </c>
      <c r="J59" s="59">
        <f t="shared" si="30"/>
        <v>0</v>
      </c>
      <c r="K59" s="59">
        <f t="shared" si="30"/>
        <v>0</v>
      </c>
      <c r="L59" s="59">
        <f t="shared" si="30"/>
        <v>0</v>
      </c>
      <c r="M59" s="59">
        <f t="shared" si="30"/>
        <v>0</v>
      </c>
      <c r="N59" s="59">
        <f t="shared" si="30"/>
        <v>0</v>
      </c>
      <c r="O59" s="59">
        <f t="shared" si="30"/>
        <v>0</v>
      </c>
      <c r="P59" s="59">
        <f t="shared" si="30"/>
        <v>0</v>
      </c>
      <c r="Q59" s="59">
        <f t="shared" si="30"/>
        <v>0</v>
      </c>
      <c r="R59" s="59">
        <f t="shared" si="30"/>
        <v>0</v>
      </c>
      <c r="S59" s="59">
        <f t="shared" si="30"/>
        <v>0</v>
      </c>
      <c r="T59" s="59">
        <f t="shared" si="30"/>
        <v>0</v>
      </c>
      <c r="U59" s="59">
        <f t="shared" si="30"/>
        <v>0</v>
      </c>
      <c r="V59" s="59">
        <f t="shared" si="30"/>
        <v>0</v>
      </c>
      <c r="W59" s="59">
        <f t="shared" si="30"/>
        <v>0</v>
      </c>
      <c r="X59" s="59">
        <f>SUMIF($B$75:$B$765,"522",X75:X767)+SUMIF($B$75:$B$765,"922",X75:X767)</f>
        <v>0</v>
      </c>
      <c r="Y59" s="59">
        <f>SUMIF($B$75:$B$765,"522",Y75:Y767)+SUMIF($B$75:$B$765,"922",Y75:Y767)</f>
        <v>0</v>
      </c>
      <c r="Z59" s="59">
        <f>SUMIF($B$75:$B$765,"522",Z75:Z767)+SUMIF($B$75:$B$765,"922",Z75:Z767)</f>
        <v>0</v>
      </c>
      <c r="AA59" s="59">
        <f>SUMIF($B$75:$B$765,"522",AA75:AA767)+SUMIF($B$75:$B$765,"922",AA75:AA767)</f>
        <v>0</v>
      </c>
      <c r="AB59" s="59">
        <f>SUMIF($B$75:$B$765,"522",AB75:AB767)+SUMIF($B$75:$B$765,"922",AB75:AB767)</f>
        <v>0</v>
      </c>
      <c r="AC59" s="59">
        <f>SUMIF($B$75:$B$765,"522",AC75:AC767)+SUMIF($B$75:$B$765,"922",AC75:AC767)</f>
        <v>0</v>
      </c>
      <c r="AD59" s="59">
        <f>SUMIF($B$75:$B$765,"522",AD75:AD767)+SUMIF($B$75:$B$765,"922",AD75:AD767)</f>
        <v>0</v>
      </c>
      <c r="AE59" s="59">
        <f>SUMIF($B$75:$B$765,"522",AE75:AE767)+SUMIF($B$75:$B$765,"922",AE75:AE767)</f>
        <v>0</v>
      </c>
    </row>
    <row r="60" spans="2:31" s="1" customFormat="1" ht="18.2" customHeight="1" x14ac:dyDescent="0.2">
      <c r="B60" s="58"/>
      <c r="C60" s="68"/>
      <c r="D60" s="68"/>
      <c r="E60" s="59">
        <f t="shared" ref="E60:W60" si="31">SUMIF($B$75:$B$765,"LRE",E75:E768)</f>
        <v>0</v>
      </c>
      <c r="F60" s="59">
        <f t="shared" si="31"/>
        <v>0</v>
      </c>
      <c r="G60" s="59">
        <f t="shared" si="31"/>
        <v>0</v>
      </c>
      <c r="H60" s="59">
        <f t="shared" si="31"/>
        <v>0</v>
      </c>
      <c r="I60" s="59">
        <f t="shared" si="31"/>
        <v>0</v>
      </c>
      <c r="J60" s="59">
        <f t="shared" si="31"/>
        <v>0</v>
      </c>
      <c r="K60" s="59">
        <f t="shared" si="31"/>
        <v>0</v>
      </c>
      <c r="L60" s="59">
        <f t="shared" si="31"/>
        <v>0</v>
      </c>
      <c r="M60" s="59">
        <f t="shared" si="31"/>
        <v>0</v>
      </c>
      <c r="N60" s="59">
        <f t="shared" si="31"/>
        <v>0</v>
      </c>
      <c r="O60" s="59">
        <f t="shared" si="31"/>
        <v>0</v>
      </c>
      <c r="P60" s="59">
        <f t="shared" si="31"/>
        <v>0</v>
      </c>
      <c r="Q60" s="59">
        <f t="shared" si="31"/>
        <v>0</v>
      </c>
      <c r="R60" s="59">
        <f t="shared" si="31"/>
        <v>0</v>
      </c>
      <c r="S60" s="59">
        <f t="shared" si="31"/>
        <v>0</v>
      </c>
      <c r="T60" s="59">
        <f t="shared" si="31"/>
        <v>0</v>
      </c>
      <c r="U60" s="59">
        <f t="shared" si="31"/>
        <v>0</v>
      </c>
      <c r="V60" s="59">
        <f t="shared" si="31"/>
        <v>0</v>
      </c>
      <c r="W60" s="59">
        <f t="shared" si="31"/>
        <v>0</v>
      </c>
      <c r="X60" s="59">
        <f>SUMIF($B$75:$B$765,"LRE",X75:X768)</f>
        <v>0</v>
      </c>
      <c r="Y60" s="59">
        <f>SUMIF($B$75:$B$765,"LRE",Y75:Y768)</f>
        <v>0</v>
      </c>
      <c r="Z60" s="59">
        <f>SUMIF($B$75:$B$765,"LRE",Z75:Z768)</f>
        <v>0</v>
      </c>
      <c r="AA60" s="59">
        <f>SUMIF($B$75:$B$765,"LRE",AA75:AA768)</f>
        <v>0</v>
      </c>
      <c r="AB60" s="59">
        <f>SUMIF($B$75:$B$765,"LRE",AB75:AB768)</f>
        <v>0</v>
      </c>
      <c r="AC60" s="59">
        <f>SUMIF($B$75:$B$765,"LRE",AC75:AC768)</f>
        <v>0</v>
      </c>
      <c r="AD60" s="59">
        <f>SUMIF($B$75:$B$765,"LRE",AD75:AD768)</f>
        <v>0</v>
      </c>
      <c r="AE60" s="59">
        <f>SUMIF($B$75:$B$765,"LRE",AE75:AE768)</f>
        <v>0</v>
      </c>
    </row>
    <row r="61" spans="2:31" s="1" customFormat="1" ht="18.2" customHeight="1" x14ac:dyDescent="0.2">
      <c r="B61" s="58"/>
      <c r="C61" s="68"/>
      <c r="D61" s="68"/>
      <c r="E61" s="59">
        <f t="shared" ref="E61:W61" si="32">SUMIF($B$75:$B$765,"LR",E75:E769)</f>
        <v>0</v>
      </c>
      <c r="F61" s="59">
        <f t="shared" si="32"/>
        <v>0</v>
      </c>
      <c r="G61" s="59">
        <f t="shared" si="32"/>
        <v>0</v>
      </c>
      <c r="H61" s="59">
        <f t="shared" si="32"/>
        <v>0</v>
      </c>
      <c r="I61" s="59">
        <f t="shared" si="32"/>
        <v>0</v>
      </c>
      <c r="J61" s="59">
        <f t="shared" si="32"/>
        <v>0</v>
      </c>
      <c r="K61" s="59">
        <f t="shared" si="32"/>
        <v>0</v>
      </c>
      <c r="L61" s="59">
        <f t="shared" si="32"/>
        <v>0</v>
      </c>
      <c r="M61" s="59">
        <f t="shared" si="32"/>
        <v>0</v>
      </c>
      <c r="N61" s="59">
        <f t="shared" si="32"/>
        <v>0</v>
      </c>
      <c r="O61" s="59">
        <f t="shared" si="32"/>
        <v>0</v>
      </c>
      <c r="P61" s="59">
        <f t="shared" si="32"/>
        <v>0</v>
      </c>
      <c r="Q61" s="59">
        <f t="shared" si="32"/>
        <v>0</v>
      </c>
      <c r="R61" s="59">
        <f t="shared" si="32"/>
        <v>0</v>
      </c>
      <c r="S61" s="59">
        <f t="shared" si="32"/>
        <v>0</v>
      </c>
      <c r="T61" s="59">
        <f t="shared" si="32"/>
        <v>0</v>
      </c>
      <c r="U61" s="59">
        <f t="shared" si="32"/>
        <v>0</v>
      </c>
      <c r="V61" s="59">
        <f t="shared" si="32"/>
        <v>0</v>
      </c>
      <c r="W61" s="59">
        <f t="shared" si="32"/>
        <v>0</v>
      </c>
      <c r="X61" s="59">
        <f>SUMIF($B$75:$B$765,"LR",X75:X769)</f>
        <v>0</v>
      </c>
      <c r="Y61" s="59">
        <f>SUMIF($B$75:$B$765,"LR",Y75:Y769)</f>
        <v>0</v>
      </c>
      <c r="Z61" s="59">
        <f>SUMIF($B$75:$B$765,"LR",Z75:Z769)</f>
        <v>0</v>
      </c>
      <c r="AA61" s="59">
        <f>SUMIF($B$75:$B$765,"LR",AA75:AA769)</f>
        <v>0</v>
      </c>
      <c r="AB61" s="59">
        <f>SUMIF($B$75:$B$765,"LR",AB75:AB769)</f>
        <v>0</v>
      </c>
      <c r="AC61" s="59">
        <f>SUMIF($B$75:$B$765,"LR",AC75:AC769)</f>
        <v>0</v>
      </c>
      <c r="AD61" s="59">
        <f>SUMIF($B$75:$B$765,"LR",AD75:AD769)</f>
        <v>0</v>
      </c>
      <c r="AE61" s="59">
        <f>SUMIF($B$75:$B$765,"LR",AE75:AE769)</f>
        <v>0</v>
      </c>
    </row>
    <row r="62" spans="2:31" s="1" customFormat="1" ht="18.2" customHeight="1" x14ac:dyDescent="0.2">
      <c r="B62" s="58"/>
      <c r="C62" s="68"/>
      <c r="D62" s="68"/>
      <c r="E62" s="59">
        <f t="shared" ref="E62:W62" si="33">SUMIF($B$75:$B$765,"LO",E75:E770)</f>
        <v>0</v>
      </c>
      <c r="F62" s="59">
        <f t="shared" si="33"/>
        <v>0</v>
      </c>
      <c r="G62" s="59">
        <f t="shared" si="33"/>
        <v>0</v>
      </c>
      <c r="H62" s="59">
        <f t="shared" si="33"/>
        <v>0</v>
      </c>
      <c r="I62" s="59">
        <f t="shared" si="33"/>
        <v>0</v>
      </c>
      <c r="J62" s="59">
        <f t="shared" si="33"/>
        <v>0</v>
      </c>
      <c r="K62" s="59">
        <f t="shared" si="33"/>
        <v>0</v>
      </c>
      <c r="L62" s="59">
        <f t="shared" si="33"/>
        <v>0</v>
      </c>
      <c r="M62" s="59">
        <f t="shared" si="33"/>
        <v>0</v>
      </c>
      <c r="N62" s="59">
        <f t="shared" si="33"/>
        <v>0</v>
      </c>
      <c r="O62" s="59">
        <f t="shared" si="33"/>
        <v>0</v>
      </c>
      <c r="P62" s="59">
        <f t="shared" si="33"/>
        <v>0</v>
      </c>
      <c r="Q62" s="59">
        <f t="shared" si="33"/>
        <v>0</v>
      </c>
      <c r="R62" s="59">
        <f t="shared" si="33"/>
        <v>0</v>
      </c>
      <c r="S62" s="59">
        <f t="shared" si="33"/>
        <v>0</v>
      </c>
      <c r="T62" s="59">
        <f t="shared" si="33"/>
        <v>0</v>
      </c>
      <c r="U62" s="59">
        <f t="shared" si="33"/>
        <v>0</v>
      </c>
      <c r="V62" s="59">
        <f t="shared" si="33"/>
        <v>0</v>
      </c>
      <c r="W62" s="59">
        <f t="shared" si="33"/>
        <v>0</v>
      </c>
      <c r="X62" s="59">
        <f>SUMIF($B$75:$B$765,"LO",X75:X770)</f>
        <v>0</v>
      </c>
      <c r="Y62" s="59">
        <f>SUMIF($B$75:$B$765,"LO",Y75:Y770)</f>
        <v>0</v>
      </c>
      <c r="Z62" s="59">
        <f>SUMIF($B$75:$B$765,"LO",Z75:Z770)</f>
        <v>0</v>
      </c>
      <c r="AA62" s="59">
        <f>SUMIF($B$75:$B$765,"LO",AA75:AA770)</f>
        <v>0</v>
      </c>
      <c r="AB62" s="59">
        <f>SUMIF($B$75:$B$765,"LO",AB75:AB770)</f>
        <v>0</v>
      </c>
      <c r="AC62" s="59">
        <f>SUMIF($B$75:$B$765,"LO",AC75:AC770)</f>
        <v>0</v>
      </c>
      <c r="AD62" s="59">
        <f>SUMIF($B$75:$B$765,"LO",AD75:AD770)</f>
        <v>0</v>
      </c>
      <c r="AE62" s="59">
        <f>SUMIF($B$75:$B$765,"LO",AE75:AE770)</f>
        <v>0</v>
      </c>
    </row>
    <row r="63" spans="2:31" s="1" customFormat="1" ht="18.2" customHeight="1" x14ac:dyDescent="0.2">
      <c r="B63" s="58"/>
      <c r="C63" s="68"/>
      <c r="D63" s="68"/>
      <c r="E63" s="59">
        <f t="shared" ref="E63:W63" si="34">SUMIF($B$75:$B$765,"LOE",E75:E771)</f>
        <v>0</v>
      </c>
      <c r="F63" s="59">
        <f t="shared" si="34"/>
        <v>0</v>
      </c>
      <c r="G63" s="59">
        <f t="shared" si="34"/>
        <v>0</v>
      </c>
      <c r="H63" s="59">
        <f t="shared" si="34"/>
        <v>0</v>
      </c>
      <c r="I63" s="59">
        <f t="shared" si="34"/>
        <v>0</v>
      </c>
      <c r="J63" s="59">
        <f t="shared" si="34"/>
        <v>0</v>
      </c>
      <c r="K63" s="59">
        <f t="shared" si="34"/>
        <v>0</v>
      </c>
      <c r="L63" s="59">
        <f t="shared" si="34"/>
        <v>0</v>
      </c>
      <c r="M63" s="59">
        <f t="shared" si="34"/>
        <v>0</v>
      </c>
      <c r="N63" s="59">
        <f t="shared" si="34"/>
        <v>0</v>
      </c>
      <c r="O63" s="59">
        <f t="shared" si="34"/>
        <v>0</v>
      </c>
      <c r="P63" s="59">
        <f t="shared" si="34"/>
        <v>0</v>
      </c>
      <c r="Q63" s="59">
        <f t="shared" si="34"/>
        <v>0</v>
      </c>
      <c r="R63" s="59">
        <f t="shared" si="34"/>
        <v>0</v>
      </c>
      <c r="S63" s="59">
        <f t="shared" si="34"/>
        <v>0</v>
      </c>
      <c r="T63" s="59">
        <f t="shared" si="34"/>
        <v>0</v>
      </c>
      <c r="U63" s="59">
        <f t="shared" si="34"/>
        <v>0</v>
      </c>
      <c r="V63" s="59">
        <f t="shared" si="34"/>
        <v>0</v>
      </c>
      <c r="W63" s="59">
        <f t="shared" si="34"/>
        <v>0</v>
      </c>
      <c r="X63" s="59">
        <f>SUMIF($B$75:$B$765,"LOE",X75:X771)</f>
        <v>0</v>
      </c>
      <c r="Y63" s="59">
        <f>SUMIF($B$75:$B$765,"LOE",Y75:Y771)</f>
        <v>0</v>
      </c>
      <c r="Z63" s="59">
        <f>SUMIF($B$75:$B$765,"LOE",Z75:Z771)</f>
        <v>0</v>
      </c>
      <c r="AA63" s="59">
        <f>SUMIF($B$75:$B$765,"LOE",AA75:AA771)</f>
        <v>0</v>
      </c>
      <c r="AB63" s="59">
        <f>SUMIF($B$75:$B$765,"LOE",AB75:AB771)</f>
        <v>0</v>
      </c>
      <c r="AC63" s="59">
        <f>SUMIF($B$75:$B$765,"LOE",AC75:AC771)</f>
        <v>0</v>
      </c>
      <c r="AD63" s="59">
        <f>SUMIF($B$75:$B$765,"LOE",AD75:AD771)</f>
        <v>0</v>
      </c>
      <c r="AE63" s="59">
        <f>SUMIF($B$75:$B$765,"LOE",AE75:AE771)</f>
        <v>0</v>
      </c>
    </row>
    <row r="64" spans="2:31" s="1" customFormat="1" ht="18.2" customHeight="1" x14ac:dyDescent="0.2">
      <c r="B64" s="58"/>
      <c r="C64" s="68"/>
      <c r="D64" s="68"/>
      <c r="E64" s="59">
        <f t="shared" ref="E64:W64" si="35">SUMIF($B$75:$B$765,"70",E75:E772)+SUMIF($B$75:$B$765,"170",E75:E772)+SUMIF($B$75:$B$765,"74",E75:E772)+SUMIF($B$75:$B$765,"174",E75:E772)+SUMIF($B$75:$B$765,"172",E75:E772)+SUMIF($B$75:$B$765,"72",E75:E772)+SUMIF($B$75:$B$765,"76",E75:E772)+SUMIF($B$75:$B$765,"176",E75:E772)+SUMIF($B$75:$B$765,"178",E75:E772)+SUMIF($B$75:$B$765,"78",E75:E772)+SUMIF($B$75:$B$765,"177",E75:E772)+SUMIF($B$75:$B$765,"77",E75:E772)</f>
        <v>0</v>
      </c>
      <c r="F64" s="59">
        <f t="shared" si="35"/>
        <v>0</v>
      </c>
      <c r="G64" s="59">
        <f t="shared" si="35"/>
        <v>0</v>
      </c>
      <c r="H64" s="59">
        <f t="shared" si="35"/>
        <v>0</v>
      </c>
      <c r="I64" s="59">
        <f t="shared" si="35"/>
        <v>0</v>
      </c>
      <c r="J64" s="59">
        <f t="shared" si="35"/>
        <v>0</v>
      </c>
      <c r="K64" s="59">
        <f t="shared" si="35"/>
        <v>0</v>
      </c>
      <c r="L64" s="59">
        <f t="shared" si="35"/>
        <v>0</v>
      </c>
      <c r="M64" s="59">
        <f t="shared" si="35"/>
        <v>0</v>
      </c>
      <c r="N64" s="59">
        <f t="shared" si="35"/>
        <v>0</v>
      </c>
      <c r="O64" s="59">
        <f t="shared" si="35"/>
        <v>0</v>
      </c>
      <c r="P64" s="59">
        <f t="shared" si="35"/>
        <v>0</v>
      </c>
      <c r="Q64" s="59">
        <f t="shared" si="35"/>
        <v>0</v>
      </c>
      <c r="R64" s="59">
        <f t="shared" si="35"/>
        <v>0</v>
      </c>
      <c r="S64" s="59">
        <f t="shared" si="35"/>
        <v>0</v>
      </c>
      <c r="T64" s="59">
        <f t="shared" si="35"/>
        <v>0</v>
      </c>
      <c r="U64" s="59">
        <f t="shared" si="35"/>
        <v>0</v>
      </c>
      <c r="V64" s="59">
        <f t="shared" si="35"/>
        <v>0</v>
      </c>
      <c r="W64" s="59">
        <f t="shared" si="35"/>
        <v>0</v>
      </c>
      <c r="X64" s="59">
        <f>SUMIF($B$75:$B$765,"70",X75:X772)+SUMIF($B$75:$B$765,"170",X75:X772)+SUMIF($B$75:$B$765,"74",X75:X772)+SUMIF($B$75:$B$765,"174",X75:X772)+SUMIF($B$75:$B$765,"172",X75:X772)+SUMIF($B$75:$B$765,"72",X75:X772)+SUMIF($B$75:$B$765,"76",X75:X772)+SUMIF($B$75:$B$765,"176",X75:X772)+SUMIF($B$75:$B$765,"178",X75:X772)+SUMIF($B$75:$B$765,"78",X75:X772)+SUMIF($B$75:$B$765,"177",X75:X772)+SUMIF($B$75:$B$765,"77",X75:X772)</f>
        <v>0</v>
      </c>
      <c r="Y64" s="59">
        <f>SUMIF($B$75:$B$765,"70",Y75:Y772)+SUMIF($B$75:$B$765,"170",Y75:Y772)+SUMIF($B$75:$B$765,"74",Y75:Y772)+SUMIF($B$75:$B$765,"174",Y75:Y772)+SUMIF($B$75:$B$765,"172",Y75:Y772)+SUMIF($B$75:$B$765,"72",Y75:Y772)+SUMIF($B$75:$B$765,"76",Y75:Y772)+SUMIF($B$75:$B$765,"176",Y75:Y772)+SUMIF($B$75:$B$765,"178",Y75:Y772)+SUMIF($B$75:$B$765,"78",Y75:Y772)+SUMIF($B$75:$B$765,"177",Y75:Y772)+SUMIF($B$75:$B$765,"77",Y75:Y772)</f>
        <v>0</v>
      </c>
      <c r="Z64" s="59">
        <f>SUMIF($B$75:$B$765,"70",Z75:Z772)+SUMIF($B$75:$B$765,"170",Z75:Z772)+SUMIF($B$75:$B$765,"74",Z75:Z772)+SUMIF($B$75:$B$765,"174",Z75:Z772)+SUMIF($B$75:$B$765,"172",Z75:Z772)+SUMIF($B$75:$B$765,"72",Z75:Z772)+SUMIF($B$75:$B$765,"76",Z75:Z772)+SUMIF($B$75:$B$765,"176",Z75:Z772)+SUMIF($B$75:$B$765,"178",Z75:Z772)+SUMIF($B$75:$B$765,"78",Z75:Z772)+SUMIF($B$75:$B$765,"177",Z75:Z772)+SUMIF($B$75:$B$765,"77",Z75:Z772)</f>
        <v>0</v>
      </c>
      <c r="AA64" s="59">
        <f>SUMIF($B$75:$B$765,"70",AA75:AA772)+SUMIF($B$75:$B$765,"170",AA75:AA772)+SUMIF($B$75:$B$765,"74",AA75:AA772)+SUMIF($B$75:$B$765,"174",AA75:AA772)+SUMIF($B$75:$B$765,"172",AA75:AA772)+SUMIF($B$75:$B$765,"72",AA75:AA772)+SUMIF($B$75:$B$765,"76",AA75:AA772)+SUMIF($B$75:$B$765,"176",AA75:AA772)+SUMIF($B$75:$B$765,"178",AA75:AA772)+SUMIF($B$75:$B$765,"78",AA75:AA772)+SUMIF($B$75:$B$765,"177",AA75:AA772)+SUMIF($B$75:$B$765,"77",AA75:AA772)</f>
        <v>0</v>
      </c>
      <c r="AB64" s="59">
        <f>SUMIF($B$75:$B$765,"70",AB75:AB772)+SUMIF($B$75:$B$765,"170",AB75:AB772)+SUMIF($B$75:$B$765,"74",AB75:AB772)+SUMIF($B$75:$B$765,"174",AB75:AB772)+SUMIF($B$75:$B$765,"172",AB75:AB772)+SUMIF($B$75:$B$765,"72",AB75:AB772)+SUMIF($B$75:$B$765,"76",AB75:AB772)+SUMIF($B$75:$B$765,"176",AB75:AB772)+SUMIF($B$75:$B$765,"178",AB75:AB772)+SUMIF($B$75:$B$765,"78",AB75:AB772)+SUMIF($B$75:$B$765,"177",AB75:AB772)+SUMIF($B$75:$B$765,"77",AB75:AB772)</f>
        <v>0</v>
      </c>
      <c r="AC64" s="59">
        <f>SUMIF($B$75:$B$765,"70",AC75:AC772)+SUMIF($B$75:$B$765,"170",AC75:AC772)+SUMIF($B$75:$B$765,"74",AC75:AC772)+SUMIF($B$75:$B$765,"174",AC75:AC772)+SUMIF($B$75:$B$765,"172",AC75:AC772)+SUMIF($B$75:$B$765,"72",AC75:AC772)+SUMIF($B$75:$B$765,"76",AC75:AC772)+SUMIF($B$75:$B$765,"176",AC75:AC772)+SUMIF($B$75:$B$765,"178",AC75:AC772)+SUMIF($B$75:$B$765,"78",AC75:AC772)+SUMIF($B$75:$B$765,"177",AC75:AC772)+SUMIF($B$75:$B$765,"77",AC75:AC772)</f>
        <v>0</v>
      </c>
      <c r="AD64" s="59">
        <f>SUMIF($B$75:$B$765,"70",AD75:AD772)+SUMIF($B$75:$B$765,"170",AD75:AD772)+SUMIF($B$75:$B$765,"74",AD75:AD772)+SUMIF($B$75:$B$765,"174",AD75:AD772)+SUMIF($B$75:$B$765,"172",AD75:AD772)+SUMIF($B$75:$B$765,"72",AD75:AD772)+SUMIF($B$75:$B$765,"76",AD75:AD772)+SUMIF($B$75:$B$765,"176",AD75:AD772)+SUMIF($B$75:$B$765,"178",AD75:AD772)+SUMIF($B$75:$B$765,"78",AD75:AD772)+SUMIF($B$75:$B$765,"177",AD75:AD772)+SUMIF($B$75:$B$765,"77",AD75:AD772)</f>
        <v>0</v>
      </c>
      <c r="AE64" s="59">
        <f>SUMIF($B$75:$B$765,"70",AE75:AE772)+SUMIF($B$75:$B$765,"170",AE75:AE772)+SUMIF($B$75:$B$765,"74",AE75:AE772)+SUMIF($B$75:$B$765,"174",AE75:AE772)+SUMIF($B$75:$B$765,"172",AE75:AE772)+SUMIF($B$75:$B$765,"72",AE75:AE772)+SUMIF($B$75:$B$765,"76",AE75:AE772)+SUMIF($B$75:$B$765,"176",AE75:AE772)+SUMIF($B$75:$B$765,"178",AE75:AE772)+SUMIF($B$75:$B$765,"78",AE75:AE772)+SUMIF($B$75:$B$765,"177",AE75:AE772)+SUMIF($B$75:$B$765,"77",AE75:AE772)</f>
        <v>0</v>
      </c>
    </row>
    <row r="65" spans="2:35" s="1" customFormat="1" ht="18.2" customHeight="1" x14ac:dyDescent="0.2">
      <c r="B65" s="60"/>
      <c r="C65" s="69"/>
      <c r="D65" s="69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</row>
    <row r="66" spans="2:35" s="1" customFormat="1" ht="18.2" customHeight="1" x14ac:dyDescent="0.2">
      <c r="B66" s="60"/>
      <c r="C66" s="68"/>
      <c r="D66" s="68"/>
      <c r="E66" s="59">
        <f t="shared" ref="E66:W66" si="36">SUMIF($B$75:$B$765,"521",E75:E783)+SUMIF($B$75:$B$765,"921",E74:E774)</f>
        <v>0</v>
      </c>
      <c r="F66" s="59">
        <f t="shared" si="36"/>
        <v>0</v>
      </c>
      <c r="G66" s="59">
        <f t="shared" si="36"/>
        <v>0</v>
      </c>
      <c r="H66" s="59">
        <f t="shared" si="36"/>
        <v>0</v>
      </c>
      <c r="I66" s="59">
        <f t="shared" si="36"/>
        <v>0</v>
      </c>
      <c r="J66" s="59">
        <f t="shared" si="36"/>
        <v>0</v>
      </c>
      <c r="K66" s="59">
        <f t="shared" si="36"/>
        <v>0</v>
      </c>
      <c r="L66" s="59">
        <f t="shared" si="36"/>
        <v>0</v>
      </c>
      <c r="M66" s="59">
        <f t="shared" si="36"/>
        <v>0</v>
      </c>
      <c r="N66" s="59">
        <f t="shared" si="36"/>
        <v>0</v>
      </c>
      <c r="O66" s="59">
        <f t="shared" si="36"/>
        <v>0</v>
      </c>
      <c r="P66" s="59">
        <f t="shared" si="36"/>
        <v>0</v>
      </c>
      <c r="Q66" s="59">
        <f t="shared" si="36"/>
        <v>0</v>
      </c>
      <c r="R66" s="59">
        <f t="shared" si="36"/>
        <v>0</v>
      </c>
      <c r="S66" s="59">
        <f t="shared" si="36"/>
        <v>0</v>
      </c>
      <c r="T66" s="59">
        <f t="shared" si="36"/>
        <v>0</v>
      </c>
      <c r="U66" s="59">
        <f t="shared" si="36"/>
        <v>0</v>
      </c>
      <c r="V66" s="59">
        <f t="shared" si="36"/>
        <v>0</v>
      </c>
      <c r="W66" s="59">
        <f t="shared" si="36"/>
        <v>0</v>
      </c>
      <c r="X66" s="59">
        <f>SUMIF($B$75:$B$765,"521",X75:X783)+SUMIF($B$75:$B$765,"921",X74:X774)</f>
        <v>0</v>
      </c>
      <c r="Y66" s="59">
        <f>SUMIF($B$75:$B$765,"521",Y75:Y783)+SUMIF($B$75:$B$765,"921",Y74:Y774)</f>
        <v>0</v>
      </c>
      <c r="Z66" s="59">
        <f>SUMIF($B$75:$B$765,"521",Z75:Z783)+SUMIF($B$75:$B$765,"921",Z74:Z774)</f>
        <v>0</v>
      </c>
      <c r="AA66" s="59">
        <f>SUMIF($B$75:$B$765,"521",AA75:AA783)+SUMIF($B$75:$B$765,"921",AA74:AA774)</f>
        <v>0</v>
      </c>
      <c r="AB66" s="59">
        <f>SUMIF($B$75:$B$765,"521",AB75:AB783)+SUMIF($B$75:$B$765,"921",AB74:AB774)</f>
        <v>0</v>
      </c>
      <c r="AC66" s="59">
        <f>SUMIF($B$75:$B$765,"521",AC75:AC783)+SUMIF($B$75:$B$765,"921",AC74:AC774)</f>
        <v>0</v>
      </c>
      <c r="AD66" s="59">
        <f>SUMIF($B$75:$B$765,"521",AD75:AD783)+SUMIF($B$75:$B$765,"921",AD74:AD774)</f>
        <v>0</v>
      </c>
      <c r="AE66" s="59">
        <f>SUMIF($B$75:$B$765,"521",AE75:AE783)+SUMIF($B$75:$B$765,"921",AE74:AE774)</f>
        <v>0</v>
      </c>
    </row>
    <row r="67" spans="2:35" s="1" customFormat="1" ht="18.2" customHeight="1" x14ac:dyDescent="0.2">
      <c r="B67" s="60"/>
      <c r="C67" s="68"/>
      <c r="D67" s="68"/>
      <c r="E67" s="59">
        <f t="shared" ref="E67:W67" si="37">SUMIF($B$75:$B$765,"522",E75:E775)+SUMIF($B$75:$B$765,"922",E75:E775)</f>
        <v>0</v>
      </c>
      <c r="F67" s="59">
        <f t="shared" si="37"/>
        <v>0</v>
      </c>
      <c r="G67" s="59">
        <f t="shared" si="37"/>
        <v>0</v>
      </c>
      <c r="H67" s="59">
        <f t="shared" si="37"/>
        <v>0</v>
      </c>
      <c r="I67" s="59">
        <f t="shared" si="37"/>
        <v>0</v>
      </c>
      <c r="J67" s="59">
        <f t="shared" si="37"/>
        <v>0</v>
      </c>
      <c r="K67" s="59">
        <f t="shared" si="37"/>
        <v>0</v>
      </c>
      <c r="L67" s="59">
        <f t="shared" si="37"/>
        <v>0</v>
      </c>
      <c r="M67" s="59">
        <f t="shared" si="37"/>
        <v>0</v>
      </c>
      <c r="N67" s="59">
        <f t="shared" si="37"/>
        <v>0</v>
      </c>
      <c r="O67" s="59">
        <f t="shared" si="37"/>
        <v>0</v>
      </c>
      <c r="P67" s="59">
        <f t="shared" si="37"/>
        <v>0</v>
      </c>
      <c r="Q67" s="59">
        <f t="shared" si="37"/>
        <v>0</v>
      </c>
      <c r="R67" s="59">
        <f t="shared" si="37"/>
        <v>0</v>
      </c>
      <c r="S67" s="59">
        <f t="shared" si="37"/>
        <v>0</v>
      </c>
      <c r="T67" s="59">
        <f t="shared" si="37"/>
        <v>0</v>
      </c>
      <c r="U67" s="59">
        <f t="shared" si="37"/>
        <v>0</v>
      </c>
      <c r="V67" s="59">
        <f t="shared" si="37"/>
        <v>0</v>
      </c>
      <c r="W67" s="59">
        <f t="shared" si="37"/>
        <v>0</v>
      </c>
      <c r="X67" s="59">
        <f>SUMIF($B$75:$B$765,"522",X75:X775)+SUMIF($B$75:$B$765,"922",X75:X775)</f>
        <v>0</v>
      </c>
      <c r="Y67" s="59">
        <f>SUMIF($B$75:$B$765,"522",Y75:Y775)+SUMIF($B$75:$B$765,"922",Y75:Y775)</f>
        <v>0</v>
      </c>
      <c r="Z67" s="59">
        <f>SUMIF($B$75:$B$765,"522",Z75:Z775)+SUMIF($B$75:$B$765,"922",Z75:Z775)</f>
        <v>0</v>
      </c>
      <c r="AA67" s="59">
        <f>SUMIF($B$75:$B$765,"522",AA75:AA775)+SUMIF($B$75:$B$765,"922",AA75:AA775)</f>
        <v>0</v>
      </c>
      <c r="AB67" s="59">
        <f>SUMIF($B$75:$B$765,"522",AB75:AB775)+SUMIF($B$75:$B$765,"922",AB75:AB775)</f>
        <v>0</v>
      </c>
      <c r="AC67" s="59">
        <f>SUMIF($B$75:$B$765,"522",AC75:AC775)+SUMIF($B$75:$B$765,"922",AC75:AC775)</f>
        <v>0</v>
      </c>
      <c r="AD67" s="59">
        <f>SUMIF($B$75:$B$765,"522",AD75:AD775)+SUMIF($B$75:$B$765,"922",AD75:AD775)</f>
        <v>0</v>
      </c>
      <c r="AE67" s="59">
        <f>SUMIF($B$75:$B$765,"522",AE75:AE775)+SUMIF($B$75:$B$765,"922",AE75:AE775)</f>
        <v>0</v>
      </c>
    </row>
    <row r="68" spans="2:35" s="1" customFormat="1" ht="18.2" customHeight="1" x14ac:dyDescent="0.2">
      <c r="B68" s="60"/>
      <c r="C68" s="68"/>
      <c r="D68" s="68"/>
      <c r="E68" s="59">
        <f t="shared" ref="E68:W68" si="38">SUMIF($B$75:$B$765,"LRE",E75:E784)</f>
        <v>0</v>
      </c>
      <c r="F68" s="59">
        <f t="shared" si="38"/>
        <v>0</v>
      </c>
      <c r="G68" s="59">
        <f t="shared" si="38"/>
        <v>0</v>
      </c>
      <c r="H68" s="59">
        <f t="shared" si="38"/>
        <v>0</v>
      </c>
      <c r="I68" s="59">
        <f t="shared" si="38"/>
        <v>0</v>
      </c>
      <c r="J68" s="59">
        <f t="shared" si="38"/>
        <v>0</v>
      </c>
      <c r="K68" s="59">
        <f t="shared" si="38"/>
        <v>0</v>
      </c>
      <c r="L68" s="59">
        <f t="shared" si="38"/>
        <v>0</v>
      </c>
      <c r="M68" s="59">
        <f t="shared" si="38"/>
        <v>0</v>
      </c>
      <c r="N68" s="59">
        <f t="shared" si="38"/>
        <v>0</v>
      </c>
      <c r="O68" s="59">
        <f t="shared" si="38"/>
        <v>0</v>
      </c>
      <c r="P68" s="59">
        <f t="shared" si="38"/>
        <v>0</v>
      </c>
      <c r="Q68" s="59">
        <f t="shared" si="38"/>
        <v>0</v>
      </c>
      <c r="R68" s="59">
        <f t="shared" si="38"/>
        <v>0</v>
      </c>
      <c r="S68" s="59">
        <f t="shared" si="38"/>
        <v>0</v>
      </c>
      <c r="T68" s="59">
        <f t="shared" si="38"/>
        <v>0</v>
      </c>
      <c r="U68" s="59">
        <f t="shared" si="38"/>
        <v>0</v>
      </c>
      <c r="V68" s="59">
        <f t="shared" si="38"/>
        <v>0</v>
      </c>
      <c r="W68" s="59">
        <f t="shared" si="38"/>
        <v>0</v>
      </c>
      <c r="X68" s="59">
        <f>SUMIF($B$75:$B$765,"LRE",X75:X784)</f>
        <v>0</v>
      </c>
      <c r="Y68" s="59">
        <f>SUMIF($B$75:$B$765,"LRE",Y75:Y784)</f>
        <v>0</v>
      </c>
      <c r="Z68" s="59">
        <f>SUMIF($B$75:$B$765,"LRE",Z75:Z784)</f>
        <v>0</v>
      </c>
      <c r="AA68" s="59">
        <f>SUMIF($B$75:$B$765,"LRE",AA75:AA784)</f>
        <v>0</v>
      </c>
      <c r="AB68" s="59">
        <f>SUMIF($B$75:$B$765,"LRE",AB75:AB784)</f>
        <v>0</v>
      </c>
      <c r="AC68" s="59">
        <f>SUMIF($B$75:$B$765,"LRE",AC75:AC784)</f>
        <v>0</v>
      </c>
      <c r="AD68" s="59">
        <f>SUMIF($B$75:$B$765,"LRE",AD75:AD784)</f>
        <v>0</v>
      </c>
      <c r="AE68" s="59">
        <f>SUMIF($B$75:$B$765,"LRE",AE75:AE784)</f>
        <v>0</v>
      </c>
    </row>
    <row r="69" spans="2:35" s="1" customFormat="1" ht="18.2" customHeight="1" x14ac:dyDescent="0.2">
      <c r="B69" s="60"/>
      <c r="C69" s="68"/>
      <c r="D69" s="68"/>
      <c r="E69" s="59">
        <f t="shared" ref="E69:W69" si="39">SUMIF($B$75:$B$765,"LR",E75:E785)</f>
        <v>0</v>
      </c>
      <c r="F69" s="59">
        <f t="shared" si="39"/>
        <v>0</v>
      </c>
      <c r="G69" s="59">
        <f t="shared" si="39"/>
        <v>0</v>
      </c>
      <c r="H69" s="59">
        <f t="shared" si="39"/>
        <v>0</v>
      </c>
      <c r="I69" s="59">
        <f t="shared" si="39"/>
        <v>0</v>
      </c>
      <c r="J69" s="59">
        <f t="shared" si="39"/>
        <v>0</v>
      </c>
      <c r="K69" s="59">
        <f t="shared" si="39"/>
        <v>0</v>
      </c>
      <c r="L69" s="59">
        <f t="shared" si="39"/>
        <v>0</v>
      </c>
      <c r="M69" s="59">
        <f t="shared" si="39"/>
        <v>0</v>
      </c>
      <c r="N69" s="59">
        <f t="shared" si="39"/>
        <v>0</v>
      </c>
      <c r="O69" s="59">
        <f t="shared" si="39"/>
        <v>0</v>
      </c>
      <c r="P69" s="59">
        <f t="shared" si="39"/>
        <v>0</v>
      </c>
      <c r="Q69" s="59">
        <f t="shared" si="39"/>
        <v>0</v>
      </c>
      <c r="R69" s="59">
        <f t="shared" si="39"/>
        <v>0</v>
      </c>
      <c r="S69" s="59">
        <f t="shared" si="39"/>
        <v>0</v>
      </c>
      <c r="T69" s="59">
        <f t="shared" si="39"/>
        <v>0</v>
      </c>
      <c r="U69" s="59">
        <f t="shared" si="39"/>
        <v>0</v>
      </c>
      <c r="V69" s="59">
        <f t="shared" si="39"/>
        <v>0</v>
      </c>
      <c r="W69" s="59">
        <f t="shared" si="39"/>
        <v>0</v>
      </c>
      <c r="X69" s="59">
        <f>SUMIF($B$75:$B$765,"LR",X75:X785)</f>
        <v>0</v>
      </c>
      <c r="Y69" s="59">
        <f>SUMIF($B$75:$B$765,"LR",Y75:Y785)</f>
        <v>0</v>
      </c>
      <c r="Z69" s="59">
        <f>SUMIF($B$75:$B$765,"LR",Z75:Z785)</f>
        <v>0</v>
      </c>
      <c r="AA69" s="59">
        <f>SUMIF($B$75:$B$765,"LR",AA75:AA785)</f>
        <v>0</v>
      </c>
      <c r="AB69" s="59">
        <f>SUMIF($B$75:$B$765,"LR",AB75:AB785)</f>
        <v>0</v>
      </c>
      <c r="AC69" s="59">
        <f>SUMIF($B$75:$B$765,"LR",AC75:AC785)</f>
        <v>0</v>
      </c>
      <c r="AD69" s="59">
        <f>SUMIF($B$75:$B$765,"LR",AD75:AD785)</f>
        <v>0</v>
      </c>
      <c r="AE69" s="59">
        <f>SUMIF($B$75:$B$765,"LR",AE75:AE785)</f>
        <v>0</v>
      </c>
    </row>
    <row r="70" spans="2:35" s="1" customFormat="1" ht="18.2" customHeight="1" x14ac:dyDescent="0.2">
      <c r="B70" s="60"/>
      <c r="C70" s="68"/>
      <c r="D70" s="68"/>
      <c r="E70" s="59">
        <f t="shared" ref="E70:W70" si="40">SUMIF($B$75:$B$765,"LO",E75:E778)</f>
        <v>0</v>
      </c>
      <c r="F70" s="59">
        <f t="shared" si="40"/>
        <v>0</v>
      </c>
      <c r="G70" s="59">
        <f t="shared" si="40"/>
        <v>0</v>
      </c>
      <c r="H70" s="59">
        <f t="shared" si="40"/>
        <v>0</v>
      </c>
      <c r="I70" s="59">
        <f t="shared" si="40"/>
        <v>0</v>
      </c>
      <c r="J70" s="59">
        <f t="shared" si="40"/>
        <v>0</v>
      </c>
      <c r="K70" s="59">
        <f t="shared" si="40"/>
        <v>0</v>
      </c>
      <c r="L70" s="59">
        <f t="shared" si="40"/>
        <v>0</v>
      </c>
      <c r="M70" s="59">
        <f t="shared" si="40"/>
        <v>0</v>
      </c>
      <c r="N70" s="59">
        <f t="shared" si="40"/>
        <v>0</v>
      </c>
      <c r="O70" s="59">
        <f t="shared" si="40"/>
        <v>0</v>
      </c>
      <c r="P70" s="59">
        <f t="shared" si="40"/>
        <v>0</v>
      </c>
      <c r="Q70" s="59">
        <f t="shared" si="40"/>
        <v>0</v>
      </c>
      <c r="R70" s="59">
        <f t="shared" si="40"/>
        <v>0</v>
      </c>
      <c r="S70" s="59">
        <f t="shared" si="40"/>
        <v>0</v>
      </c>
      <c r="T70" s="59">
        <f t="shared" si="40"/>
        <v>0</v>
      </c>
      <c r="U70" s="59">
        <f t="shared" si="40"/>
        <v>0</v>
      </c>
      <c r="V70" s="59">
        <f t="shared" si="40"/>
        <v>0</v>
      </c>
      <c r="W70" s="59">
        <f t="shared" si="40"/>
        <v>0</v>
      </c>
      <c r="X70" s="59">
        <f>SUMIF($B$75:$B$765,"LO",X75:X778)</f>
        <v>0</v>
      </c>
      <c r="Y70" s="59">
        <f>SUMIF($B$75:$B$765,"LO",Y75:Y778)</f>
        <v>0</v>
      </c>
      <c r="Z70" s="59">
        <f>SUMIF($B$75:$B$765,"LO",Z75:Z778)</f>
        <v>0</v>
      </c>
      <c r="AA70" s="59">
        <f>SUMIF($B$75:$B$765,"LO",AA75:AA778)</f>
        <v>0</v>
      </c>
      <c r="AB70" s="59">
        <f>SUMIF($B$75:$B$765,"LO",AB75:AB778)</f>
        <v>0</v>
      </c>
      <c r="AC70" s="59">
        <f>SUMIF($B$75:$B$765,"LO",AC75:AC778)</f>
        <v>0</v>
      </c>
      <c r="AD70" s="59">
        <f>SUMIF($B$75:$B$765,"LO",AD75:AD778)</f>
        <v>0</v>
      </c>
      <c r="AE70" s="59">
        <f>SUMIF($B$75:$B$765,"LO",AE75:AE778)</f>
        <v>0</v>
      </c>
    </row>
    <row r="71" spans="2:35" s="1" customFormat="1" ht="18.2" customHeight="1" x14ac:dyDescent="0.2">
      <c r="B71" s="60"/>
      <c r="C71" s="68"/>
      <c r="D71" s="68"/>
      <c r="E71" s="59">
        <f t="shared" ref="E71:W71" si="41">SUMIF($B$75:$B$765,"LOE",E75:E779)</f>
        <v>0</v>
      </c>
      <c r="F71" s="59">
        <f t="shared" si="41"/>
        <v>0</v>
      </c>
      <c r="G71" s="59">
        <f t="shared" si="41"/>
        <v>0</v>
      </c>
      <c r="H71" s="59">
        <f t="shared" si="41"/>
        <v>0</v>
      </c>
      <c r="I71" s="59">
        <f t="shared" si="41"/>
        <v>0</v>
      </c>
      <c r="J71" s="59">
        <f t="shared" si="41"/>
        <v>0</v>
      </c>
      <c r="K71" s="59">
        <f t="shared" si="41"/>
        <v>0</v>
      </c>
      <c r="L71" s="59">
        <f t="shared" si="41"/>
        <v>0</v>
      </c>
      <c r="M71" s="59">
        <f t="shared" si="41"/>
        <v>0</v>
      </c>
      <c r="N71" s="59">
        <f t="shared" si="41"/>
        <v>0</v>
      </c>
      <c r="O71" s="59">
        <f t="shared" si="41"/>
        <v>0</v>
      </c>
      <c r="P71" s="59">
        <f t="shared" si="41"/>
        <v>0</v>
      </c>
      <c r="Q71" s="59">
        <f t="shared" si="41"/>
        <v>0</v>
      </c>
      <c r="R71" s="59">
        <f t="shared" si="41"/>
        <v>0</v>
      </c>
      <c r="S71" s="59">
        <f t="shared" si="41"/>
        <v>0</v>
      </c>
      <c r="T71" s="59">
        <f t="shared" si="41"/>
        <v>0</v>
      </c>
      <c r="U71" s="59">
        <f t="shared" si="41"/>
        <v>0</v>
      </c>
      <c r="V71" s="59">
        <f t="shared" si="41"/>
        <v>0</v>
      </c>
      <c r="W71" s="59">
        <f t="shared" si="41"/>
        <v>0</v>
      </c>
      <c r="X71" s="59">
        <f>SUMIF($B$75:$B$765,"LOE",X75:X779)</f>
        <v>0</v>
      </c>
      <c r="Y71" s="59">
        <f>SUMIF($B$75:$B$765,"LOE",Y75:Y779)</f>
        <v>0</v>
      </c>
      <c r="Z71" s="59">
        <f>SUMIF($B$75:$B$765,"LOE",Z75:Z779)</f>
        <v>0</v>
      </c>
      <c r="AA71" s="59">
        <f>SUMIF($B$75:$B$765,"LOE",AA75:AA779)</f>
        <v>0</v>
      </c>
      <c r="AB71" s="59">
        <f>SUMIF($B$75:$B$765,"LOE",AB75:AB779)</f>
        <v>0</v>
      </c>
      <c r="AC71" s="59">
        <f>SUMIF($B$75:$B$765,"LOE",AC75:AC779)</f>
        <v>0</v>
      </c>
      <c r="AD71" s="59">
        <f>SUMIF($B$75:$B$765,"LOE",AD75:AD779)</f>
        <v>0</v>
      </c>
      <c r="AE71" s="59">
        <f>SUMIF($B$75:$B$765,"LOE",AE75:AE779)</f>
        <v>0</v>
      </c>
    </row>
    <row r="72" spans="2:35" s="1" customFormat="1" ht="18.2" customHeight="1" x14ac:dyDescent="0.2">
      <c r="B72" s="60"/>
      <c r="C72" s="68"/>
      <c r="D72" s="68"/>
      <c r="E72" s="59">
        <f t="shared" ref="E72:X72" si="42">SUMIF($B$75:$B$765,"70",E75:E780)+SUMIF($B$75:$B$765,"170",E75:E780)+SUMIF($B$75:$B$765,"74",E75:E780)+SUMIF($B$75:$B$765,"174",E75:E780)+SUMIF($B$75:$B$765,"172",E75:E780)+SUMIF($B$75:$B$765,"72",E75:E780)+SUMIF($B$75:$B$765,"76",E75:E780)+SUMIF($B$75:$B$765,"176",E75:E780)+SUMIF($B$75:$B$765,"178",E75:E780)+SUMIF($B$75:$B$765,"78",E75:E780)+SUMIF($B$75:$B$765,"77",E75:E780)+SUMIF($B$75:$B$765,"177",E75:E780)</f>
        <v>0</v>
      </c>
      <c r="F72" s="59">
        <f t="shared" si="42"/>
        <v>0</v>
      </c>
      <c r="G72" s="59">
        <f t="shared" si="42"/>
        <v>0</v>
      </c>
      <c r="H72" s="59">
        <f t="shared" si="42"/>
        <v>0</v>
      </c>
      <c r="I72" s="59">
        <f t="shared" si="42"/>
        <v>0</v>
      </c>
      <c r="J72" s="59">
        <f t="shared" si="42"/>
        <v>0</v>
      </c>
      <c r="K72" s="59">
        <f t="shared" si="42"/>
        <v>0</v>
      </c>
      <c r="L72" s="59">
        <f t="shared" si="42"/>
        <v>0</v>
      </c>
      <c r="M72" s="59">
        <f t="shared" si="42"/>
        <v>0</v>
      </c>
      <c r="N72" s="59">
        <f t="shared" si="42"/>
        <v>0</v>
      </c>
      <c r="O72" s="59">
        <f t="shared" si="42"/>
        <v>0</v>
      </c>
      <c r="P72" s="59">
        <f t="shared" si="42"/>
        <v>0</v>
      </c>
      <c r="Q72" s="59">
        <f t="shared" si="42"/>
        <v>0</v>
      </c>
      <c r="R72" s="59">
        <f t="shared" si="42"/>
        <v>0</v>
      </c>
      <c r="S72" s="59">
        <f t="shared" si="42"/>
        <v>0</v>
      </c>
      <c r="T72" s="59">
        <f t="shared" si="42"/>
        <v>0</v>
      </c>
      <c r="U72" s="59">
        <f t="shared" si="42"/>
        <v>0</v>
      </c>
      <c r="V72" s="59">
        <f t="shared" si="42"/>
        <v>0</v>
      </c>
      <c r="W72" s="59">
        <f t="shared" si="42"/>
        <v>0</v>
      </c>
      <c r="X72" s="59">
        <f>SUMIF($B$75:$B$765,"70",X75:X780)+SUMIF($B$75:$B$765,"170",X75:X780)+SUMIF($B$75:$B$765,"74",X75:X780)+SUMIF($B$75:$B$765,"174",X75:X780)+SUMIF($B$75:$B$765,"172",X75:X780)+SUMIF($B$75:$B$765,"72",X75:X780)+SUMIF($B$75:$B$765,"76",X75:X780)+SUMIF($B$75:$B$765,"176",X75:X780)+SUMIF($B$75:$B$765,"178",X75:X780)+SUMIF($B$75:$B$765,"78",X75:X780)+SUMIF($B$75:$B$765,"77",X75:X780)+SUMIF($B$75:$B$765,"177",X75:X780)</f>
        <v>0</v>
      </c>
      <c r="Y72" s="59">
        <f>SUMIF($B$75:$B$765,"70",Y75:Y780)+SUMIF($B$75:$B$765,"170",Y75:Y780)+SUMIF($B$75:$B$765,"74",Y75:Y780)+SUMIF($B$75:$B$765,"174",Y75:Y780)+SUMIF($B$75:$B$765,"172",Y75:Y780)+SUMIF($B$75:$B$765,"72",Y75:Y780)+SUMIF($B$75:$B$765,"76",Y75:Y780)+SUMIF($B$75:$B$765,"176",Y75:Y780)+SUMIF($B$75:$B$765,"178",Y75:Y780)+SUMIF($B$75:$B$765,"78",Y75:Y780)+SUMIF($B$75:$B$765,"77",Y75:Y780)+SUMIF($B$75:$B$765,"177",Y75:Y780)</f>
        <v>0</v>
      </c>
      <c r="Z72" s="59">
        <f>SUMIF($B$75:$B$765,"70",Z75:Z780)+SUMIF($B$75:$B$765,"170",Z75:Z780)+SUMIF($B$75:$B$765,"74",Z75:Z780)+SUMIF($B$75:$B$765,"174",Z75:Z780)+SUMIF($B$75:$B$765,"172",Z75:Z780)+SUMIF($B$75:$B$765,"72",Z75:Z780)+SUMIF($B$75:$B$765,"76",Z75:Z780)+SUMIF($B$75:$B$765,"176",Z75:Z780)+SUMIF($B$75:$B$765,"178",Z75:Z780)+SUMIF($B$75:$B$765,"78",Z75:Z780)+SUMIF($B$75:$B$765,"77",Z75:Z780)+SUMIF($B$75:$B$765,"177",Z75:Z780)</f>
        <v>0</v>
      </c>
      <c r="AA72" s="59">
        <f>SUMIF($B$75:$B$765,"70",AA75:AA780)+SUMIF($B$75:$B$765,"170",AA75:AA780)+SUMIF($B$75:$B$765,"74",AA75:AA780)+SUMIF($B$75:$B$765,"174",AA75:AA780)+SUMIF($B$75:$B$765,"172",AA75:AA780)+SUMIF($B$75:$B$765,"72",AA75:AA780)+SUMIF($B$75:$B$765,"76",AA75:AA780)+SUMIF($B$75:$B$765,"176",AA75:AA780)+SUMIF($B$75:$B$765,"178",AA75:AA780)+SUMIF($B$75:$B$765,"78",AA75:AA780)+SUMIF($B$75:$B$765,"77",AA75:AA780)+SUMIF($B$75:$B$765,"177",AA75:AA780)</f>
        <v>0</v>
      </c>
      <c r="AB72" s="59">
        <f>SUMIF($B$75:$B$765,"70",AB75:AB780)+SUMIF($B$75:$B$765,"170",AB75:AB780)+SUMIF($B$75:$B$765,"74",AB75:AB780)+SUMIF($B$75:$B$765,"174",AB75:AB780)+SUMIF($B$75:$B$765,"172",AB75:AB780)+SUMIF($B$75:$B$765,"72",AB75:AB780)+SUMIF($B$75:$B$765,"76",AB75:AB780)+SUMIF($B$75:$B$765,"176",AB75:AB780)+SUMIF($B$75:$B$765,"178",AB75:AB780)+SUMIF($B$75:$B$765,"78",AB75:AB780)+SUMIF($B$75:$B$765,"77",AB75:AB780)+SUMIF($B$75:$B$765,"177",AB75:AB780)</f>
        <v>0</v>
      </c>
      <c r="AC72" s="59">
        <f>SUMIF($B$75:$B$765,"70",AC75:AC780)+SUMIF($B$75:$B$765,"170",AC75:AC780)+SUMIF($B$75:$B$765,"74",AC75:AC780)+SUMIF($B$75:$B$765,"174",AC75:AC780)+SUMIF($B$75:$B$765,"172",AC75:AC780)+SUMIF($B$75:$B$765,"72",AC75:AC780)+SUMIF($B$75:$B$765,"76",AC75:AC780)+SUMIF($B$75:$B$765,"176",AC75:AC780)+SUMIF($B$75:$B$765,"178",AC75:AC780)+SUMIF($B$75:$B$765,"78",AC75:AC780)+SUMIF($B$75:$B$765,"77",AC75:AC780)+SUMIF($B$75:$B$765,"177",AC75:AC780)</f>
        <v>0</v>
      </c>
      <c r="AD72" s="59">
        <f>SUMIF($B$75:$B$765,"70",AD75:AD780)+SUMIF($B$75:$B$765,"170",AD75:AD780)+SUMIF($B$75:$B$765,"74",AD75:AD780)+SUMIF($B$75:$B$765,"174",AD75:AD780)+SUMIF($B$75:$B$765,"172",AD75:AD780)+SUMIF($B$75:$B$765,"72",AD75:AD780)+SUMIF($B$75:$B$765,"76",AD75:AD780)+SUMIF($B$75:$B$765,"176",AD75:AD780)+SUMIF($B$75:$B$765,"178",AD75:AD780)+SUMIF($B$75:$B$765,"78",AD75:AD780)+SUMIF($B$75:$B$765,"77",AD75:AD780)+SUMIF($B$75:$B$765,"177",AD75:AD780)</f>
        <v>0</v>
      </c>
      <c r="AE72" s="59">
        <f>SUMIF($B$75:$B$765,"70",AE75:AE780)+SUMIF($B$75:$B$765,"170",AE75:AE780)+SUMIF($B$75:$B$765,"74",AE75:AE780)+SUMIF($B$75:$B$765,"174",AE75:AE780)+SUMIF($B$75:$B$765,"172",AE75:AE780)+SUMIF($B$75:$B$765,"72",AE75:AE780)+SUMIF($B$75:$B$765,"76",AE75:AE780)+SUMIF($B$75:$B$765,"176",AE75:AE780)+SUMIF($B$75:$B$765,"178",AE75:AE780)+SUMIF($B$75:$B$765,"78",AE75:AE780)+SUMIF($B$75:$B$765,"77",AE75:AE780)+SUMIF($B$75:$B$765,"177",AE75:AE780)</f>
        <v>0</v>
      </c>
    </row>
    <row r="73" spans="2:35" s="1" customFormat="1" ht="4.3499999999999996" customHeight="1" x14ac:dyDescent="0.2"/>
    <row r="74" spans="2:35" s="1" customFormat="1" ht="27.2" customHeight="1" x14ac:dyDescent="0.2">
      <c r="C74" s="62"/>
    </row>
    <row r="75" spans="2:35" s="1" customFormat="1" ht="19.7" customHeight="1" x14ac:dyDescent="0.2">
      <c r="B75" s="63"/>
      <c r="C75" s="67"/>
      <c r="D75" s="67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</row>
    <row r="76" spans="2:35" s="1" customFormat="1" ht="19.7" customHeight="1" x14ac:dyDescent="0.2">
      <c r="B76" s="63"/>
      <c r="C76" s="67"/>
      <c r="D76" s="67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</row>
    <row r="77" spans="2:35" s="1" customFormat="1" ht="19.7" customHeight="1" x14ac:dyDescent="0.2">
      <c r="B77" s="63"/>
      <c r="C77" s="67"/>
      <c r="D77" s="67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</row>
    <row r="78" spans="2:35" s="1" customFormat="1" ht="19.7" customHeight="1" x14ac:dyDescent="0.2">
      <c r="B78" s="63"/>
      <c r="C78" s="67"/>
      <c r="D78" s="67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</row>
    <row r="79" spans="2:35" s="1" customFormat="1" ht="19.7" customHeight="1" x14ac:dyDescent="0.2">
      <c r="B79" s="63"/>
      <c r="C79" s="67"/>
      <c r="D79" s="67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</row>
    <row r="80" spans="2:35" s="1" customFormat="1" ht="19.7" customHeight="1" x14ac:dyDescent="0.2">
      <c r="B80" s="63"/>
      <c r="C80" s="67"/>
      <c r="D80" s="67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</row>
    <row r="81" spans="2:35" s="1" customFormat="1" ht="19.7" customHeight="1" x14ac:dyDescent="0.2">
      <c r="B81" s="63"/>
      <c r="C81" s="67"/>
      <c r="D81" s="67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</row>
    <row r="82" spans="2:35" s="1" customFormat="1" ht="27.2" customHeight="1" x14ac:dyDescent="0.2">
      <c r="C82" s="62"/>
    </row>
    <row r="83" spans="2:35" s="1" customFormat="1" ht="19.7" customHeight="1" x14ac:dyDescent="0.2">
      <c r="B83" s="63"/>
      <c r="C83" s="67"/>
      <c r="D83" s="67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</row>
    <row r="84" spans="2:35" s="1" customFormat="1" ht="19.7" customHeight="1" x14ac:dyDescent="0.2">
      <c r="B84" s="63"/>
      <c r="C84" s="67"/>
      <c r="D84" s="67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</row>
    <row r="85" spans="2:35" s="1" customFormat="1" ht="19.7" customHeight="1" x14ac:dyDescent="0.2">
      <c r="B85" s="63"/>
      <c r="C85" s="67"/>
      <c r="D85" s="67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</row>
    <row r="86" spans="2:35" s="1" customFormat="1" ht="19.7" customHeight="1" x14ac:dyDescent="0.2">
      <c r="B86" s="63"/>
      <c r="C86" s="67"/>
      <c r="D86" s="67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</row>
    <row r="87" spans="2:35" s="1" customFormat="1" ht="19.7" customHeight="1" x14ac:dyDescent="0.2">
      <c r="B87" s="63"/>
      <c r="C87" s="67"/>
      <c r="D87" s="67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</row>
    <row r="88" spans="2:35" s="1" customFormat="1" ht="19.7" customHeight="1" x14ac:dyDescent="0.2">
      <c r="B88" s="63"/>
      <c r="C88" s="67"/>
      <c r="D88" s="67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</row>
    <row r="89" spans="2:35" s="1" customFormat="1" ht="19.7" customHeight="1" x14ac:dyDescent="0.2">
      <c r="B89" s="63"/>
      <c r="C89" s="67"/>
      <c r="D89" s="67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</row>
    <row r="90" spans="2:35" s="1" customFormat="1" ht="27.2" customHeight="1" x14ac:dyDescent="0.2">
      <c r="C90" s="62"/>
    </row>
    <row r="91" spans="2:35" s="1" customFormat="1" ht="19.7" customHeight="1" x14ac:dyDescent="0.2">
      <c r="B91" s="63"/>
      <c r="C91" s="67"/>
      <c r="D91" s="67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</row>
    <row r="92" spans="2:35" s="1" customFormat="1" ht="19.7" customHeight="1" x14ac:dyDescent="0.2">
      <c r="B92" s="63"/>
      <c r="C92" s="67"/>
      <c r="D92" s="67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</row>
    <row r="93" spans="2:35" s="1" customFormat="1" ht="19.7" customHeight="1" x14ac:dyDescent="0.2">
      <c r="B93" s="63"/>
      <c r="C93" s="67"/>
      <c r="D93" s="67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</row>
    <row r="94" spans="2:35" s="1" customFormat="1" ht="19.7" customHeight="1" x14ac:dyDescent="0.2">
      <c r="B94" s="63"/>
      <c r="C94" s="67"/>
      <c r="D94" s="67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</row>
    <row r="95" spans="2:35" s="1" customFormat="1" ht="27.2" customHeight="1" x14ac:dyDescent="0.2">
      <c r="C95" s="62"/>
    </row>
    <row r="96" spans="2:35" s="1" customFormat="1" ht="19.7" customHeight="1" x14ac:dyDescent="0.2">
      <c r="B96" s="63"/>
      <c r="C96" s="67"/>
      <c r="D96" s="67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</row>
    <row r="97" spans="2:35" s="1" customFormat="1" ht="27.2" customHeight="1" x14ac:dyDescent="0.2">
      <c r="C97" s="62"/>
    </row>
    <row r="98" spans="2:35" s="1" customFormat="1" ht="19.7" customHeight="1" x14ac:dyDescent="0.2">
      <c r="B98" s="63"/>
      <c r="C98" s="67"/>
      <c r="D98" s="67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</row>
    <row r="99" spans="2:35" s="1" customFormat="1" ht="19.7" customHeight="1" x14ac:dyDescent="0.2">
      <c r="B99" s="63"/>
      <c r="C99" s="67"/>
      <c r="D99" s="67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</row>
    <row r="100" spans="2:35" s="1" customFormat="1" ht="27.2" customHeight="1" x14ac:dyDescent="0.2">
      <c r="C100" s="62"/>
    </row>
    <row r="101" spans="2:35" s="1" customFormat="1" ht="19.7" customHeight="1" x14ac:dyDescent="0.2">
      <c r="B101" s="63"/>
      <c r="C101" s="67"/>
      <c r="D101" s="67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</row>
    <row r="102" spans="2:35" s="1" customFormat="1" ht="19.7" customHeight="1" x14ac:dyDescent="0.2">
      <c r="B102" s="63"/>
      <c r="C102" s="67"/>
      <c r="D102" s="67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</row>
    <row r="103" spans="2:35" s="1" customFormat="1" ht="19.7" customHeight="1" x14ac:dyDescent="0.2">
      <c r="B103" s="63"/>
      <c r="C103" s="67"/>
      <c r="D103" s="67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</row>
    <row r="104" spans="2:35" s="1" customFormat="1" ht="19.7" customHeight="1" x14ac:dyDescent="0.2">
      <c r="B104" s="63"/>
      <c r="C104" s="67"/>
      <c r="D104" s="67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</row>
    <row r="105" spans="2:35" s="1" customFormat="1" ht="19.7" customHeight="1" x14ac:dyDescent="0.2">
      <c r="B105" s="63"/>
      <c r="C105" s="67"/>
      <c r="D105" s="67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</row>
    <row r="106" spans="2:35" s="1" customFormat="1" ht="19.7" customHeight="1" x14ac:dyDescent="0.2">
      <c r="B106" s="63"/>
      <c r="C106" s="67"/>
      <c r="D106" s="67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</row>
    <row r="107" spans="2:35" s="1" customFormat="1" ht="19.7" customHeight="1" x14ac:dyDescent="0.2">
      <c r="B107" s="63"/>
      <c r="C107" s="67"/>
      <c r="D107" s="67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</row>
    <row r="108" spans="2:35" s="1" customFormat="1" ht="19.7" customHeight="1" x14ac:dyDescent="0.2">
      <c r="B108" s="63"/>
      <c r="C108" s="67"/>
      <c r="D108" s="67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</row>
    <row r="109" spans="2:35" s="1" customFormat="1" ht="19.7" customHeight="1" x14ac:dyDescent="0.2">
      <c r="B109" s="63"/>
      <c r="C109" s="67"/>
      <c r="D109" s="67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</row>
    <row r="110" spans="2:35" s="1" customFormat="1" ht="19.7" customHeight="1" x14ac:dyDescent="0.2">
      <c r="B110" s="63"/>
      <c r="C110" s="67"/>
      <c r="D110" s="67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</row>
    <row r="111" spans="2:35" s="1" customFormat="1" ht="19.7" customHeight="1" x14ac:dyDescent="0.2">
      <c r="B111" s="63"/>
      <c r="C111" s="67"/>
      <c r="D111" s="67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</row>
    <row r="112" spans="2:35" s="1" customFormat="1" ht="19.7" customHeight="1" x14ac:dyDescent="0.2">
      <c r="B112" s="63"/>
      <c r="C112" s="67"/>
      <c r="D112" s="67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</row>
    <row r="113" spans="2:35" s="1" customFormat="1" ht="19.7" customHeight="1" x14ac:dyDescent="0.2">
      <c r="B113" s="63"/>
      <c r="C113" s="67"/>
      <c r="D113" s="67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</row>
    <row r="114" spans="2:35" s="1" customFormat="1" ht="19.7" customHeight="1" x14ac:dyDescent="0.2">
      <c r="B114" s="63"/>
      <c r="C114" s="67"/>
      <c r="D114" s="67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</row>
    <row r="115" spans="2:35" s="1" customFormat="1" ht="19.7" customHeight="1" x14ac:dyDescent="0.2">
      <c r="B115" s="63"/>
      <c r="C115" s="67"/>
      <c r="D115" s="67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</row>
    <row r="116" spans="2:35" s="1" customFormat="1" ht="6.95" customHeight="1" x14ac:dyDescent="0.2"/>
    <row r="117" spans="2:35" s="1" customFormat="1" ht="18.2" customHeight="1" x14ac:dyDescent="0.2">
      <c r="C117" s="66"/>
    </row>
    <row r="118" spans="2:35" s="1" customFormat="1" ht="5.25" customHeight="1" x14ac:dyDescent="0.2"/>
    <row r="119" spans="2:35" s="1" customFormat="1" ht="18.2" customHeight="1" x14ac:dyDescent="0.2">
      <c r="B119" s="63"/>
      <c r="C119" s="67"/>
      <c r="D119" s="67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</row>
    <row r="120" spans="2:35" s="1" customFormat="1" ht="18.2" customHeight="1" x14ac:dyDescent="0.2">
      <c r="B120" s="63"/>
      <c r="C120" s="67"/>
      <c r="D120" s="67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</row>
    <row r="121" spans="2:35" s="1" customFormat="1" ht="18.2" customHeight="1" x14ac:dyDescent="0.2">
      <c r="B121" s="63"/>
      <c r="C121" s="67"/>
      <c r="D121" s="67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</row>
    <row r="122" spans="2:35" s="1" customFormat="1" ht="18.2" customHeight="1" x14ac:dyDescent="0.2">
      <c r="B122" s="63"/>
      <c r="C122" s="67"/>
      <c r="D122" s="67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</row>
    <row r="123" spans="2:35" s="1" customFormat="1" ht="18.2" customHeight="1" x14ac:dyDescent="0.2">
      <c r="B123" s="63"/>
      <c r="C123" s="67"/>
      <c r="D123" s="67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</row>
    <row r="124" spans="2:35" s="1" customFormat="1" ht="18.2" customHeight="1" x14ac:dyDescent="0.2">
      <c r="B124" s="63"/>
      <c r="C124" s="67"/>
      <c r="D124" s="67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</row>
    <row r="125" spans="2:35" s="1" customFormat="1" ht="18.2" customHeight="1" x14ac:dyDescent="0.2">
      <c r="B125" s="63"/>
      <c r="C125" s="67"/>
      <c r="D125" s="67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</row>
    <row r="126" spans="2:35" s="1" customFormat="1" ht="18.2" customHeight="1" x14ac:dyDescent="0.2">
      <c r="B126" s="63"/>
      <c r="C126" s="67"/>
      <c r="D126" s="67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</row>
    <row r="127" spans="2:35" s="1" customFormat="1" ht="18.2" customHeight="1" x14ac:dyDescent="0.2">
      <c r="B127" s="63"/>
      <c r="C127" s="67"/>
      <c r="D127" s="67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</row>
    <row r="128" spans="2:35" s="1" customFormat="1" ht="18.2" customHeight="1" x14ac:dyDescent="0.2">
      <c r="B128" s="63"/>
      <c r="C128" s="67"/>
      <c r="D128" s="67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</row>
    <row r="129" spans="2:35" s="1" customFormat="1" ht="18.2" customHeight="1" x14ac:dyDescent="0.2">
      <c r="B129" s="63"/>
      <c r="C129" s="67"/>
      <c r="D129" s="67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</row>
    <row r="130" spans="2:35" s="1" customFormat="1" ht="18.2" customHeight="1" x14ac:dyDescent="0.2">
      <c r="B130" s="63"/>
      <c r="C130" s="67"/>
      <c r="D130" s="67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</row>
    <row r="131" spans="2:35" s="1" customFormat="1" ht="18.2" customHeight="1" x14ac:dyDescent="0.2">
      <c r="B131" s="63"/>
      <c r="C131" s="67"/>
      <c r="D131" s="67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</row>
    <row r="132" spans="2:35" s="1" customFormat="1" ht="18.2" customHeight="1" x14ac:dyDescent="0.2">
      <c r="B132" s="63"/>
      <c r="C132" s="67"/>
      <c r="D132" s="67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</row>
    <row r="133" spans="2:35" s="1" customFormat="1" ht="18.2" customHeight="1" x14ac:dyDescent="0.2">
      <c r="B133" s="63"/>
      <c r="C133" s="67"/>
      <c r="D133" s="67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</row>
    <row r="134" spans="2:35" s="1" customFormat="1" ht="11.65" customHeight="1" x14ac:dyDescent="0.2"/>
    <row r="135" spans="2:35" s="1" customFormat="1" ht="18.2" customHeight="1" x14ac:dyDescent="0.2">
      <c r="C135" s="66"/>
    </row>
    <row r="136" spans="2:35" s="1" customFormat="1" ht="5.25" customHeight="1" x14ac:dyDescent="0.2"/>
    <row r="137" spans="2:35" s="1" customFormat="1" ht="18.2" customHeight="1" x14ac:dyDescent="0.2">
      <c r="B137" s="63"/>
      <c r="C137" s="67"/>
      <c r="D137" s="67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</row>
    <row r="138" spans="2:35" s="1" customFormat="1" ht="18.2" customHeight="1" x14ac:dyDescent="0.2">
      <c r="B138" s="63"/>
      <c r="C138" s="67"/>
      <c r="D138" s="67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</row>
    <row r="139" spans="2:35" s="1" customFormat="1" ht="18.2" customHeight="1" x14ac:dyDescent="0.2">
      <c r="B139" s="63"/>
      <c r="C139" s="67"/>
      <c r="D139" s="67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</row>
    <row r="140" spans="2:35" s="1" customFormat="1" ht="11.65" customHeight="1" x14ac:dyDescent="0.2"/>
    <row r="141" spans="2:35" s="1" customFormat="1" ht="18.2" customHeight="1" x14ac:dyDescent="0.2">
      <c r="C141" s="66"/>
    </row>
    <row r="142" spans="2:35" s="1" customFormat="1" ht="5.25" customHeight="1" x14ac:dyDescent="0.2"/>
    <row r="143" spans="2:35" s="1" customFormat="1" ht="18.2" customHeight="1" x14ac:dyDescent="0.2">
      <c r="B143" s="63"/>
      <c r="C143" s="67"/>
      <c r="D143" s="67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</row>
    <row r="144" spans="2:35" s="1" customFormat="1" ht="18.2" customHeight="1" x14ac:dyDescent="0.2">
      <c r="B144" s="63"/>
      <c r="C144" s="67"/>
      <c r="D144" s="67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</row>
    <row r="145" spans="2:35" s="1" customFormat="1" ht="18.2" customHeight="1" x14ac:dyDescent="0.2">
      <c r="B145" s="63"/>
      <c r="C145" s="67"/>
      <c r="D145" s="67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</row>
    <row r="146" spans="2:35" s="1" customFormat="1" ht="18.2" customHeight="1" x14ac:dyDescent="0.2">
      <c r="B146" s="63"/>
      <c r="C146" s="67"/>
      <c r="D146" s="67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</row>
    <row r="147" spans="2:35" s="1" customFormat="1" ht="18.2" customHeight="1" x14ac:dyDescent="0.2">
      <c r="B147" s="63"/>
      <c r="C147" s="67"/>
      <c r="D147" s="67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</row>
    <row r="148" spans="2:35" s="1" customFormat="1" ht="11.65" customHeight="1" x14ac:dyDescent="0.2"/>
    <row r="149" spans="2:35" s="1" customFormat="1" ht="18.2" customHeight="1" x14ac:dyDescent="0.2">
      <c r="C149" s="66"/>
    </row>
    <row r="150" spans="2:35" s="1" customFormat="1" ht="5.25" customHeight="1" x14ac:dyDescent="0.2"/>
    <row r="151" spans="2:35" s="1" customFormat="1" ht="18.2" customHeight="1" x14ac:dyDescent="0.2">
      <c r="B151" s="63"/>
      <c r="C151" s="67"/>
      <c r="D151" s="67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</row>
    <row r="152" spans="2:35" s="1" customFormat="1" ht="18.2" customHeight="1" x14ac:dyDescent="0.2">
      <c r="B152" s="63"/>
      <c r="C152" s="67"/>
      <c r="D152" s="67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</row>
    <row r="153" spans="2:35" s="1" customFormat="1" ht="75.75" customHeight="1" x14ac:dyDescent="0.2"/>
  </sheetData>
  <mergeCells count="136">
    <mergeCell ref="C3:D3"/>
    <mergeCell ref="C20:D20"/>
    <mergeCell ref="B27:AB27"/>
    <mergeCell ref="C29:D29"/>
    <mergeCell ref="E29:E30"/>
    <mergeCell ref="F29:F30"/>
    <mergeCell ref="G29:G30"/>
    <mergeCell ref="H29:H30"/>
    <mergeCell ref="I29:I30"/>
    <mergeCell ref="J29:J30"/>
    <mergeCell ref="C33:D33"/>
    <mergeCell ref="C34:D34"/>
    <mergeCell ref="C35:D35"/>
    <mergeCell ref="C36:D36"/>
    <mergeCell ref="C37:D37"/>
    <mergeCell ref="C38:D38"/>
    <mergeCell ref="W29:W30"/>
    <mergeCell ref="X29:X30"/>
    <mergeCell ref="Y29:Y30"/>
    <mergeCell ref="C30:D30"/>
    <mergeCell ref="C31:D31"/>
    <mergeCell ref="C32:D32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C45:D45"/>
    <mergeCell ref="C46:D46"/>
    <mergeCell ref="C47:D47"/>
    <mergeCell ref="C48:D48"/>
    <mergeCell ref="C50:D50"/>
    <mergeCell ref="E50:J50"/>
    <mergeCell ref="C39:D39"/>
    <mergeCell ref="C40:D40"/>
    <mergeCell ref="C41:D41"/>
    <mergeCell ref="C42:D42"/>
    <mergeCell ref="C43:D43"/>
    <mergeCell ref="C44:D44"/>
    <mergeCell ref="K52:M52"/>
    <mergeCell ref="N52:P52"/>
    <mergeCell ref="C54:D54"/>
    <mergeCell ref="K50:P50"/>
    <mergeCell ref="C51:D51"/>
    <mergeCell ref="E51:G51"/>
    <mergeCell ref="H51:J51"/>
    <mergeCell ref="K51:M51"/>
    <mergeCell ref="N51:P51"/>
    <mergeCell ref="C55:D55"/>
    <mergeCell ref="C57:D57"/>
    <mergeCell ref="C58:D58"/>
    <mergeCell ref="C59:D59"/>
    <mergeCell ref="C60:D60"/>
    <mergeCell ref="C61:D61"/>
    <mergeCell ref="C52:D52"/>
    <mergeCell ref="E52:G52"/>
    <mergeCell ref="H52:J52"/>
    <mergeCell ref="C68:D68"/>
    <mergeCell ref="C69:D69"/>
    <mergeCell ref="C70:D70"/>
    <mergeCell ref="C71:D71"/>
    <mergeCell ref="C72:D72"/>
    <mergeCell ref="C75:D75"/>
    <mergeCell ref="C62:D62"/>
    <mergeCell ref="C63:D63"/>
    <mergeCell ref="C64:D64"/>
    <mergeCell ref="C65:D65"/>
    <mergeCell ref="C66:D66"/>
    <mergeCell ref="C67:D67"/>
    <mergeCell ref="C83:D83"/>
    <mergeCell ref="C84:D84"/>
    <mergeCell ref="C85:D85"/>
    <mergeCell ref="C86:D86"/>
    <mergeCell ref="C87:D87"/>
    <mergeCell ref="C88:D88"/>
    <mergeCell ref="C76:D76"/>
    <mergeCell ref="C77:D77"/>
    <mergeCell ref="C78:D78"/>
    <mergeCell ref="C79:D79"/>
    <mergeCell ref="C80:D80"/>
    <mergeCell ref="C81:D81"/>
    <mergeCell ref="C98:D98"/>
    <mergeCell ref="C99:D99"/>
    <mergeCell ref="C101:D101"/>
    <mergeCell ref="C102:D102"/>
    <mergeCell ref="C103:D103"/>
    <mergeCell ref="C104:D104"/>
    <mergeCell ref="C89:D89"/>
    <mergeCell ref="C91:D91"/>
    <mergeCell ref="C92:D92"/>
    <mergeCell ref="C93:D93"/>
    <mergeCell ref="C94:D94"/>
    <mergeCell ref="C96:D96"/>
    <mergeCell ref="C111:D111"/>
    <mergeCell ref="C112:D112"/>
    <mergeCell ref="C113:D113"/>
    <mergeCell ref="C114:D114"/>
    <mergeCell ref="C115:D115"/>
    <mergeCell ref="C119:D119"/>
    <mergeCell ref="C105:D105"/>
    <mergeCell ref="C106:D106"/>
    <mergeCell ref="C107:D107"/>
    <mergeCell ref="C108:D108"/>
    <mergeCell ref="C109:D109"/>
    <mergeCell ref="C110:D110"/>
    <mergeCell ref="C126:D126"/>
    <mergeCell ref="C127:D127"/>
    <mergeCell ref="C128:D128"/>
    <mergeCell ref="C129:D129"/>
    <mergeCell ref="C130:D130"/>
    <mergeCell ref="C131:D131"/>
    <mergeCell ref="C120:D120"/>
    <mergeCell ref="C121:D121"/>
    <mergeCell ref="C122:D122"/>
    <mergeCell ref="C123:D123"/>
    <mergeCell ref="C124:D124"/>
    <mergeCell ref="C125:D125"/>
    <mergeCell ref="C144:D144"/>
    <mergeCell ref="C145:D145"/>
    <mergeCell ref="C146:D146"/>
    <mergeCell ref="C147:D147"/>
    <mergeCell ref="C151:D151"/>
    <mergeCell ref="C152:D152"/>
    <mergeCell ref="C132:D132"/>
    <mergeCell ref="C133:D133"/>
    <mergeCell ref="C137:D137"/>
    <mergeCell ref="C138:D138"/>
    <mergeCell ref="C139:D139"/>
    <mergeCell ref="C143:D143"/>
  </mergeCells>
  <pageMargins left="0.7" right="0.7" top="0.75" bottom="0.75" header="0.3" footer="0.3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DSV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Ben-Romdhane - DSV</dc:creator>
  <cp:lastModifiedBy>Nour Ben-Romdhane - DSV</cp:lastModifiedBy>
  <dcterms:created xsi:type="dcterms:W3CDTF">2026-01-21T06:39:39Z</dcterms:created>
  <dcterms:modified xsi:type="dcterms:W3CDTF">2026-01-23T16:03:24Z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2026-01-21T06:40:49Z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192bc659-35bf-471e-b979-7dd93c0e112b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</Properties>
</file>